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715" codeName="{00000000-0000-0000-0000-000000000000}"/>
  <workbookPr codeName="ThisWorkbook"/>
  <mc:AlternateContent xmlns:mc="http://schemas.openxmlformats.org/markup-compatibility/2006">
    <mc:Choice Requires="x15">
      <x15ac:absPath xmlns:x15ac="http://schemas.microsoft.com/office/spreadsheetml/2010/11/ac" url="/Users/brandons/Documents/EPDC Events/NSTA 2016/"/>
    </mc:Choice>
  </mc:AlternateContent>
  <bookViews>
    <workbookView xWindow="46220" yWindow="-4940" windowWidth="26460" windowHeight="16520" activeTab="1"/>
  </bookViews>
  <sheets>
    <sheet name="Grade Data" sheetId="1" r:id="rId1"/>
    <sheet name="Constructed SAFs" sheetId="5" r:id="rId2"/>
  </sheets>
  <definedNames>
    <definedName name="_xlnm._FilterDatabase" localSheetId="1" hidden="1">'Constructed SAFs'!$A$1:$P$27</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O4" i="5" l="1"/>
  <c r="O2" i="5"/>
  <c r="O5" i="5"/>
  <c r="O6" i="5"/>
  <c r="O11" i="5"/>
  <c r="O8" i="5"/>
  <c r="O10" i="5"/>
  <c r="O12" i="5"/>
  <c r="O9" i="5"/>
  <c r="O7" i="5"/>
  <c r="O17" i="5"/>
  <c r="O14" i="5"/>
  <c r="O18" i="5"/>
  <c r="O13" i="5"/>
  <c r="O15" i="5"/>
  <c r="O16" i="5"/>
  <c r="O19" i="5"/>
  <c r="O22" i="5"/>
  <c r="O21" i="5"/>
  <c r="O20" i="5"/>
  <c r="O27" i="5"/>
  <c r="O24" i="5"/>
  <c r="O25" i="5"/>
  <c r="O26" i="5"/>
  <c r="O23" i="5"/>
  <c r="O3" i="5"/>
  <c r="O43" i="1"/>
  <c r="T43" i="1"/>
  <c r="V43" i="1"/>
  <c r="O51" i="1"/>
  <c r="T51" i="1"/>
  <c r="V51" i="1"/>
  <c r="O84" i="1"/>
  <c r="T84" i="1"/>
  <c r="V84" i="1"/>
  <c r="T4" i="1"/>
  <c r="U4" i="1"/>
  <c r="T18" i="1"/>
  <c r="U18" i="1"/>
  <c r="T11" i="1"/>
  <c r="U11" i="1"/>
  <c r="T17" i="1"/>
  <c r="U17" i="1"/>
  <c r="T7" i="1"/>
  <c r="U7" i="1"/>
  <c r="T5" i="1"/>
  <c r="U5" i="1"/>
  <c r="T22" i="1"/>
  <c r="U22" i="1"/>
  <c r="T9" i="1"/>
  <c r="U9" i="1"/>
  <c r="T26" i="1"/>
  <c r="U26" i="1"/>
  <c r="T24" i="1"/>
  <c r="U24" i="1"/>
  <c r="T3" i="1"/>
  <c r="U3" i="1"/>
  <c r="T29" i="1"/>
  <c r="U29" i="1"/>
  <c r="T10" i="1"/>
  <c r="U10" i="1"/>
  <c r="T15" i="1"/>
  <c r="U15" i="1"/>
  <c r="T28" i="1"/>
  <c r="U28" i="1"/>
  <c r="T19" i="1"/>
  <c r="U19" i="1"/>
  <c r="T21" i="1"/>
  <c r="U21" i="1"/>
  <c r="T27" i="1"/>
  <c r="U27" i="1"/>
  <c r="T8" i="1"/>
  <c r="U8" i="1"/>
  <c r="T13" i="1"/>
  <c r="U13" i="1"/>
  <c r="T25" i="1"/>
  <c r="U25" i="1"/>
  <c r="T20" i="1"/>
  <c r="U20" i="1"/>
  <c r="T23" i="1"/>
  <c r="U23" i="1"/>
  <c r="T6" i="1"/>
  <c r="U6" i="1"/>
  <c r="T14" i="1"/>
  <c r="U14" i="1"/>
  <c r="T12" i="1"/>
  <c r="U12" i="1"/>
  <c r="T42" i="1"/>
  <c r="U42" i="1"/>
  <c r="T44" i="1"/>
  <c r="U44" i="1"/>
  <c r="T47" i="1"/>
  <c r="U47" i="1"/>
  <c r="T46" i="1"/>
  <c r="U46" i="1"/>
  <c r="U51" i="1"/>
  <c r="U43" i="1"/>
  <c r="T54" i="1"/>
  <c r="U54" i="1"/>
  <c r="T37" i="1"/>
  <c r="U37" i="1"/>
  <c r="T45" i="1"/>
  <c r="U45" i="1"/>
  <c r="T35" i="1"/>
  <c r="U35" i="1"/>
  <c r="T31" i="1"/>
  <c r="U31" i="1"/>
  <c r="T30" i="1"/>
  <c r="U30" i="1"/>
  <c r="T38" i="1"/>
  <c r="U38" i="1"/>
  <c r="T52" i="1"/>
  <c r="U52" i="1"/>
  <c r="T32" i="1"/>
  <c r="U32" i="1"/>
  <c r="T48" i="1"/>
  <c r="U48" i="1"/>
  <c r="T33" i="1"/>
  <c r="U33" i="1"/>
  <c r="T55" i="1"/>
  <c r="U55" i="1"/>
  <c r="T34" i="1"/>
  <c r="U34" i="1"/>
  <c r="T40" i="1"/>
  <c r="U40" i="1"/>
  <c r="T36" i="1"/>
  <c r="U36" i="1"/>
  <c r="T50" i="1"/>
  <c r="U50" i="1"/>
  <c r="T49" i="1"/>
  <c r="U49" i="1"/>
  <c r="T41" i="1"/>
  <c r="U41" i="1"/>
  <c r="T39" i="1"/>
  <c r="U39" i="1"/>
  <c r="T53" i="1"/>
  <c r="U53" i="1"/>
  <c r="T63" i="1"/>
  <c r="U63" i="1"/>
  <c r="T57" i="1"/>
  <c r="U57" i="1"/>
  <c r="T68" i="1"/>
  <c r="U68" i="1"/>
  <c r="T67" i="1"/>
  <c r="U67" i="1"/>
  <c r="T64" i="1"/>
  <c r="U64" i="1"/>
  <c r="T59" i="1"/>
  <c r="U59" i="1"/>
  <c r="T56" i="1"/>
  <c r="U56" i="1"/>
  <c r="T69" i="1"/>
  <c r="U69" i="1"/>
  <c r="T70" i="1"/>
  <c r="U70" i="1"/>
  <c r="T66" i="1"/>
  <c r="U66" i="1"/>
  <c r="T62" i="1"/>
  <c r="U62" i="1"/>
  <c r="T58" i="1"/>
  <c r="U58" i="1"/>
  <c r="T65" i="1"/>
  <c r="U65" i="1"/>
  <c r="T61" i="1"/>
  <c r="U61" i="1"/>
  <c r="T60" i="1"/>
  <c r="U60" i="1"/>
  <c r="T79" i="1"/>
  <c r="U79" i="1"/>
  <c r="T77" i="1"/>
  <c r="U77" i="1"/>
  <c r="T82" i="1"/>
  <c r="U82" i="1"/>
  <c r="U84" i="1"/>
  <c r="T78" i="1"/>
  <c r="U78" i="1"/>
  <c r="T88" i="1"/>
  <c r="U88" i="1"/>
  <c r="T83" i="1"/>
  <c r="U83" i="1"/>
  <c r="T86" i="1"/>
  <c r="U86" i="1"/>
  <c r="T71" i="1"/>
  <c r="U71" i="1"/>
  <c r="T76" i="1"/>
  <c r="U76" i="1"/>
  <c r="T73" i="1"/>
  <c r="U73" i="1"/>
  <c r="T80" i="1"/>
  <c r="U80" i="1"/>
  <c r="T72" i="1"/>
  <c r="U72" i="1"/>
  <c r="T74" i="1"/>
  <c r="U74" i="1"/>
  <c r="T81" i="1"/>
  <c r="U81" i="1"/>
  <c r="T85" i="1"/>
  <c r="U85" i="1"/>
  <c r="T75" i="1"/>
  <c r="U75" i="1"/>
  <c r="T87" i="1"/>
  <c r="U87" i="1"/>
  <c r="T95" i="1"/>
  <c r="U95" i="1"/>
  <c r="T106" i="1"/>
  <c r="U106" i="1"/>
  <c r="T105" i="1"/>
  <c r="U105" i="1"/>
  <c r="T107" i="1"/>
  <c r="U107" i="1"/>
  <c r="T103" i="1"/>
  <c r="T89" i="1"/>
  <c r="U89" i="1"/>
  <c r="T104" i="1"/>
  <c r="U104" i="1"/>
  <c r="T96" i="1"/>
  <c r="U96" i="1"/>
  <c r="T101" i="1"/>
  <c r="U101" i="1"/>
  <c r="T90" i="1"/>
  <c r="U90" i="1"/>
  <c r="T99" i="1"/>
  <c r="U99" i="1"/>
  <c r="T102" i="1"/>
  <c r="U102" i="1"/>
  <c r="T94" i="1"/>
  <c r="U94" i="1"/>
  <c r="T93" i="1"/>
  <c r="U93" i="1"/>
  <c r="T91" i="1"/>
  <c r="U91" i="1"/>
  <c r="T97" i="1"/>
  <c r="U97" i="1"/>
  <c r="T100" i="1"/>
  <c r="U100" i="1"/>
  <c r="T98" i="1"/>
  <c r="U98" i="1"/>
  <c r="T92" i="1"/>
  <c r="U92" i="1"/>
  <c r="T16" i="1"/>
  <c r="U16" i="1"/>
  <c r="R108" i="1"/>
  <c r="O4" i="1"/>
  <c r="P4" i="1"/>
  <c r="O18" i="1"/>
  <c r="P18" i="1"/>
  <c r="O11" i="1"/>
  <c r="P11" i="1"/>
  <c r="O17" i="1"/>
  <c r="P17" i="1"/>
  <c r="O7" i="1"/>
  <c r="P7" i="1"/>
  <c r="O5" i="1"/>
  <c r="P5" i="1"/>
  <c r="O22" i="1"/>
  <c r="P22" i="1"/>
  <c r="O9" i="1"/>
  <c r="P9" i="1"/>
  <c r="O26" i="1"/>
  <c r="P26" i="1"/>
  <c r="O24" i="1"/>
  <c r="P24" i="1"/>
  <c r="O3" i="1"/>
  <c r="P3" i="1"/>
  <c r="O29" i="1"/>
  <c r="P29" i="1"/>
  <c r="O10" i="1"/>
  <c r="P10" i="1"/>
  <c r="O15" i="1"/>
  <c r="P15" i="1"/>
  <c r="O28" i="1"/>
  <c r="P28" i="1"/>
  <c r="O19" i="1"/>
  <c r="P19" i="1"/>
  <c r="O21" i="1"/>
  <c r="P21" i="1"/>
  <c r="O27" i="1"/>
  <c r="P27" i="1"/>
  <c r="O8" i="1"/>
  <c r="P8" i="1"/>
  <c r="O13" i="1"/>
  <c r="P13" i="1"/>
  <c r="O25" i="1"/>
  <c r="P25" i="1"/>
  <c r="O20" i="1"/>
  <c r="P20" i="1"/>
  <c r="O23" i="1"/>
  <c r="P23" i="1"/>
  <c r="O6" i="1"/>
  <c r="P6" i="1"/>
  <c r="O14" i="1"/>
  <c r="P14" i="1"/>
  <c r="O12" i="1"/>
  <c r="P12" i="1"/>
  <c r="O42" i="1"/>
  <c r="P42" i="1"/>
  <c r="O44" i="1"/>
  <c r="P44" i="1"/>
  <c r="O47" i="1"/>
  <c r="P47" i="1"/>
  <c r="O46" i="1"/>
  <c r="P46" i="1"/>
  <c r="P51" i="1"/>
  <c r="P43" i="1"/>
  <c r="O54" i="1"/>
  <c r="P54" i="1"/>
  <c r="O37" i="1"/>
  <c r="P37" i="1"/>
  <c r="O45" i="1"/>
  <c r="P45" i="1"/>
  <c r="O35" i="1"/>
  <c r="P35" i="1"/>
  <c r="O31" i="1"/>
  <c r="P31" i="1"/>
  <c r="O30" i="1"/>
  <c r="P30" i="1"/>
  <c r="O38" i="1"/>
  <c r="P38" i="1"/>
  <c r="O52" i="1"/>
  <c r="P52" i="1"/>
  <c r="O32" i="1"/>
  <c r="P32" i="1"/>
  <c r="O48" i="1"/>
  <c r="P48" i="1"/>
  <c r="O33" i="1"/>
  <c r="P33" i="1"/>
  <c r="O55" i="1"/>
  <c r="P55" i="1"/>
  <c r="O34" i="1"/>
  <c r="P34" i="1"/>
  <c r="O40" i="1"/>
  <c r="P40" i="1"/>
  <c r="O36" i="1"/>
  <c r="P36" i="1"/>
  <c r="O50" i="1"/>
  <c r="P50" i="1"/>
  <c r="O49" i="1"/>
  <c r="P49" i="1"/>
  <c r="O41" i="1"/>
  <c r="P41" i="1"/>
  <c r="O39" i="1"/>
  <c r="P39" i="1"/>
  <c r="O53" i="1"/>
  <c r="P53" i="1"/>
  <c r="O63" i="1"/>
  <c r="P63" i="1"/>
  <c r="O57" i="1"/>
  <c r="P57" i="1"/>
  <c r="O68" i="1"/>
  <c r="P68" i="1"/>
  <c r="O67" i="1"/>
  <c r="P67" i="1"/>
  <c r="O64" i="1"/>
  <c r="P64" i="1"/>
  <c r="O59" i="1"/>
  <c r="P59" i="1"/>
  <c r="O56" i="1"/>
  <c r="P56" i="1"/>
  <c r="O69" i="1"/>
  <c r="P69" i="1"/>
  <c r="O70" i="1"/>
  <c r="P70" i="1"/>
  <c r="O66" i="1"/>
  <c r="P66" i="1"/>
  <c r="O62" i="1"/>
  <c r="P62" i="1"/>
  <c r="O58" i="1"/>
  <c r="P58" i="1"/>
  <c r="O65" i="1"/>
  <c r="P65" i="1"/>
  <c r="O61" i="1"/>
  <c r="P61" i="1"/>
  <c r="O60" i="1"/>
  <c r="P60" i="1"/>
  <c r="O79" i="1"/>
  <c r="P79" i="1"/>
  <c r="O77" i="1"/>
  <c r="P77" i="1"/>
  <c r="O82" i="1"/>
  <c r="P82" i="1"/>
  <c r="P84" i="1"/>
  <c r="O78" i="1"/>
  <c r="P78" i="1"/>
  <c r="O88" i="1"/>
  <c r="P88" i="1"/>
  <c r="O83" i="1"/>
  <c r="P83" i="1"/>
  <c r="O86" i="1"/>
  <c r="P86" i="1"/>
  <c r="O71" i="1"/>
  <c r="P71" i="1"/>
  <c r="O76" i="1"/>
  <c r="P76" i="1"/>
  <c r="O73" i="1"/>
  <c r="P73" i="1"/>
  <c r="O80" i="1"/>
  <c r="P80" i="1"/>
  <c r="O72" i="1"/>
  <c r="P72" i="1"/>
  <c r="O74" i="1"/>
  <c r="P74" i="1"/>
  <c r="O81" i="1"/>
  <c r="P81" i="1"/>
  <c r="O85" i="1"/>
  <c r="P85" i="1"/>
  <c r="O75" i="1"/>
  <c r="P75" i="1"/>
  <c r="O87" i="1"/>
  <c r="P87" i="1"/>
  <c r="O95" i="1"/>
  <c r="P95" i="1"/>
  <c r="O106" i="1"/>
  <c r="P106" i="1"/>
  <c r="O105" i="1"/>
  <c r="P105" i="1"/>
  <c r="O107" i="1"/>
  <c r="P107" i="1"/>
  <c r="O103" i="1"/>
  <c r="P103" i="1"/>
  <c r="O89" i="1"/>
  <c r="P89" i="1"/>
  <c r="O104" i="1"/>
  <c r="P104" i="1"/>
  <c r="O96" i="1"/>
  <c r="P96" i="1"/>
  <c r="O101" i="1"/>
  <c r="P101" i="1"/>
  <c r="O90" i="1"/>
  <c r="P90" i="1"/>
  <c r="O99" i="1"/>
  <c r="P99" i="1"/>
  <c r="O102" i="1"/>
  <c r="P102" i="1"/>
  <c r="O94" i="1"/>
  <c r="P94" i="1"/>
  <c r="O93" i="1"/>
  <c r="P93" i="1"/>
  <c r="O91" i="1"/>
  <c r="P91" i="1"/>
  <c r="O97" i="1"/>
  <c r="P97" i="1"/>
  <c r="O100" i="1"/>
  <c r="P100" i="1"/>
  <c r="O98" i="1"/>
  <c r="P98" i="1"/>
  <c r="O92" i="1"/>
  <c r="P92" i="1"/>
  <c r="O16" i="1"/>
  <c r="I108" i="1"/>
  <c r="U103" i="1"/>
  <c r="V103" i="1"/>
  <c r="H108" i="1"/>
  <c r="T108" i="1"/>
  <c r="V18" i="1"/>
  <c r="V7" i="1"/>
  <c r="V22" i="1"/>
  <c r="V26" i="1"/>
  <c r="V3" i="1"/>
  <c r="V10" i="1"/>
  <c r="V28" i="1"/>
  <c r="V21" i="1"/>
  <c r="V8" i="1"/>
  <c r="V25" i="1"/>
  <c r="V23" i="1"/>
  <c r="V14" i="1"/>
  <c r="V42" i="1"/>
  <c r="V47" i="1"/>
  <c r="V54" i="1"/>
  <c r="V45" i="1"/>
  <c r="V31" i="1"/>
  <c r="V38" i="1"/>
  <c r="V32" i="1"/>
  <c r="V48" i="1"/>
  <c r="V55" i="1"/>
  <c r="V40" i="1"/>
  <c r="V50" i="1"/>
  <c r="V39" i="1"/>
  <c r="V57" i="1"/>
  <c r="V68" i="1"/>
  <c r="V64" i="1"/>
  <c r="V59" i="1"/>
  <c r="V69" i="1"/>
  <c r="V66" i="1"/>
  <c r="V58" i="1"/>
  <c r="V61" i="1"/>
  <c r="V79" i="1"/>
  <c r="V82" i="1"/>
  <c r="V78" i="1"/>
  <c r="V83" i="1"/>
  <c r="V86" i="1"/>
  <c r="V76" i="1"/>
  <c r="V80" i="1"/>
  <c r="V74" i="1"/>
  <c r="V85" i="1"/>
  <c r="V87" i="1"/>
  <c r="V106" i="1"/>
  <c r="V107" i="1"/>
  <c r="V89" i="1"/>
  <c r="V96" i="1"/>
  <c r="V101" i="1"/>
  <c r="V99" i="1"/>
  <c r="V94" i="1"/>
  <c r="V91" i="1"/>
  <c r="V100" i="1"/>
  <c r="V92" i="1"/>
  <c r="V4" i="1"/>
  <c r="V11" i="1"/>
  <c r="V17" i="1"/>
  <c r="V5" i="1"/>
  <c r="V9" i="1"/>
  <c r="V24" i="1"/>
  <c r="V15" i="1"/>
  <c r="V19" i="1"/>
  <c r="V27" i="1"/>
  <c r="V13" i="1"/>
  <c r="V20" i="1"/>
  <c r="V6" i="1"/>
  <c r="V44" i="1"/>
  <c r="V46" i="1"/>
  <c r="V37" i="1"/>
  <c r="V35" i="1"/>
  <c r="V30" i="1"/>
  <c r="V52" i="1"/>
  <c r="V33" i="1"/>
  <c r="V34" i="1"/>
  <c r="V36" i="1"/>
  <c r="V49" i="1"/>
  <c r="V41" i="1"/>
  <c r="V53" i="1"/>
  <c r="V63" i="1"/>
  <c r="V67" i="1"/>
  <c r="V56" i="1"/>
  <c r="V70" i="1"/>
  <c r="V62" i="1"/>
  <c r="V65" i="1"/>
  <c r="V60" i="1"/>
  <c r="V77" i="1"/>
  <c r="V88" i="1"/>
  <c r="V71" i="1"/>
  <c r="V73" i="1"/>
  <c r="V72" i="1"/>
  <c r="V81" i="1"/>
  <c r="V75" i="1"/>
  <c r="V95" i="1"/>
  <c r="V105" i="1"/>
  <c r="V104" i="1"/>
  <c r="V90" i="1"/>
  <c r="V102" i="1"/>
  <c r="V93" i="1"/>
  <c r="V97" i="1"/>
  <c r="V98" i="1"/>
  <c r="V16" i="1"/>
  <c r="V108" i="1"/>
  <c r="D108" i="1"/>
  <c r="E108" i="1"/>
  <c r="F108" i="1"/>
  <c r="G108" i="1"/>
  <c r="Q108" i="1"/>
  <c r="O108" i="1"/>
  <c r="U108" i="1"/>
  <c r="P16" i="1"/>
  <c r="P108" i="1"/>
</calcChain>
</file>

<file path=xl/sharedStrings.xml><?xml version="1.0" encoding="utf-8"?>
<sst xmlns="http://schemas.openxmlformats.org/spreadsheetml/2006/main" count="398" uniqueCount="93">
  <si>
    <t>First Name</t>
  </si>
  <si>
    <t>Last Name</t>
  </si>
  <si>
    <t>Period</t>
  </si>
  <si>
    <t>Forecast</t>
  </si>
  <si>
    <t/>
  </si>
  <si>
    <t>62</t>
  </si>
  <si>
    <t>72</t>
  </si>
  <si>
    <t>68</t>
  </si>
  <si>
    <t>59</t>
  </si>
  <si>
    <t>73</t>
  </si>
  <si>
    <t>57</t>
  </si>
  <si>
    <t>60</t>
  </si>
  <si>
    <t>63</t>
  </si>
  <si>
    <t>83</t>
  </si>
  <si>
    <t>67</t>
  </si>
  <si>
    <t>56</t>
  </si>
  <si>
    <t>70</t>
  </si>
  <si>
    <t>84</t>
  </si>
  <si>
    <t>82</t>
  </si>
  <si>
    <t>64</t>
  </si>
  <si>
    <t>75</t>
  </si>
  <si>
    <t>44</t>
  </si>
  <si>
    <t>55</t>
  </si>
  <si>
    <t>51</t>
  </si>
  <si>
    <t>81</t>
  </si>
  <si>
    <t>65</t>
  </si>
  <si>
    <t>78</t>
  </si>
  <si>
    <t>58</t>
  </si>
  <si>
    <t>69</t>
  </si>
  <si>
    <t>66</t>
  </si>
  <si>
    <t>77</t>
  </si>
  <si>
    <t>86</t>
  </si>
  <si>
    <t>71</t>
  </si>
  <si>
    <t>61</t>
  </si>
  <si>
    <t>53</t>
  </si>
  <si>
    <t>50</t>
  </si>
  <si>
    <t>74</t>
  </si>
  <si>
    <t>76</t>
  </si>
  <si>
    <t>79</t>
  </si>
  <si>
    <t>80</t>
  </si>
  <si>
    <t>54</t>
  </si>
  <si>
    <t>Delta</t>
  </si>
  <si>
    <t>Forecast AP</t>
  </si>
  <si>
    <t>Class vs CA</t>
  </si>
  <si>
    <t>Labs</t>
  </si>
  <si>
    <t>Homework</t>
  </si>
  <si>
    <t>Discussion</t>
  </si>
  <si>
    <t>Writing</t>
  </si>
  <si>
    <t>Reading</t>
  </si>
  <si>
    <t>Exams</t>
  </si>
  <si>
    <t>Projects</t>
  </si>
  <si>
    <t>Algebra</t>
  </si>
  <si>
    <t>Geometry</t>
  </si>
  <si>
    <t>Engagement</t>
  </si>
  <si>
    <t>Teamsmanship</t>
  </si>
  <si>
    <t>AVERAGE</t>
  </si>
  <si>
    <t>School SAF</t>
  </si>
  <si>
    <t>Exam 1</t>
  </si>
  <si>
    <t>Exam 2</t>
  </si>
  <si>
    <t>Exam 3</t>
  </si>
  <si>
    <t>Exam AVG</t>
  </si>
  <si>
    <t>Class Grade AVG</t>
  </si>
  <si>
    <t>Provided by school</t>
  </si>
  <si>
    <t>Units of the course</t>
  </si>
  <si>
    <t>Grade in my class</t>
  </si>
  <si>
    <t>Grades on district exams</t>
  </si>
  <si>
    <t>Difference between course grade and SAF</t>
  </si>
  <si>
    <t>A</t>
  </si>
  <si>
    <t>B</t>
  </si>
  <si>
    <t>C</t>
  </si>
  <si>
    <t>D</t>
  </si>
  <si>
    <t>E</t>
  </si>
  <si>
    <t>F</t>
  </si>
  <si>
    <t>G</t>
  </si>
  <si>
    <t>H</t>
  </si>
  <si>
    <t>I</t>
  </si>
  <si>
    <t>J</t>
  </si>
  <si>
    <t>K</t>
  </si>
  <si>
    <t>L</t>
  </si>
  <si>
    <t>M</t>
  </si>
  <si>
    <t>N</t>
  </si>
  <si>
    <t>O</t>
  </si>
  <si>
    <t>P</t>
  </si>
  <si>
    <t>Q</t>
  </si>
  <si>
    <t>R</t>
  </si>
  <si>
    <t>S</t>
  </si>
  <si>
    <t>T</t>
  </si>
  <si>
    <t>U</t>
  </si>
  <si>
    <t>V</t>
  </si>
  <si>
    <t>W</t>
  </si>
  <si>
    <t>X</t>
  </si>
  <si>
    <t>Y</t>
  </si>
  <si>
    <t>Z</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</si>
</sst>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
      <b/>
      <sz val="12"/>
      <color theme="1"/>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2">
    <xf numFmtId="0" fontId="0" fillId="0" borderId="0" xfId="0"/>
    <xf numFmtId="0" fontId="16" fillId="0" borderId="0" xfId="0" applyFont="1" applyAlignment="1">
      <alignment horizontal="center"/>
    </xf>
    <xf numFmtId="0" fontId="0" fillId="0" borderId="0" xfId="0" applyAlignment="1">
      <alignment horizontal="center"/>
    </xf>
    <xf numFmtId="0" fontId="0" fillId="33" borderId="0" xfId="0" applyFill="1" applyAlignment="1">
      <alignment horizontal="center"/>
    </xf>
    <xf numFmtId="1" fontId="16" fillId="0" borderId="0" xfId="0" applyNumberFormat="1" applyFont="1" applyAlignment="1">
      <alignment horizontal="center"/>
    </xf>
    <xf numFmtId="2" fontId="16" fillId="0" borderId="0" xfId="0" applyNumberFormat="1" applyFont="1" applyAlignment="1">
      <alignment horizontal="center"/>
    </xf>
    <xf numFmtId="1" fontId="0" fillId="0" borderId="0" xfId="0" applyNumberFormat="1" applyAlignment="1">
      <alignment horizontal="center"/>
    </xf>
    <xf numFmtId="1" fontId="0" fillId="33" borderId="0" xfId="0" quotePrefix="1" applyNumberFormat="1" applyFill="1" applyAlignment="1">
      <alignment horizontal="center"/>
    </xf>
    <xf numFmtId="1" fontId="0" fillId="33" borderId="0" xfId="0" applyNumberFormat="1" applyFill="1" applyAlignment="1">
      <alignment horizontal="center"/>
    </xf>
    <xf numFmtId="1" fontId="0" fillId="0" borderId="0" xfId="0" applyNumberFormat="1"/>
    <xf numFmtId="164" fontId="0" fillId="0" borderId="0" xfId="0" applyNumberFormat="1" applyAlignment="1">
      <alignment horizontal="center"/>
    </xf>
    <xf numFmtId="0" fontId="19" fillId="0" borderId="0" xfId="0" applyFont="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3">
    <dxf>
      <fill>
        <patternFill>
          <bgColor rgb="FF92D050"/>
        </patternFill>
      </fill>
    </dxf>
    <dxf>
      <fill>
        <patternFill>
          <bgColor theme="7" tint="0.39994506668294322"/>
        </patternFill>
      </fill>
    </dxf>
    <dxf>
      <fill>
        <patternFill>
          <bgColor rgb="FFFF0000"/>
        </patternFill>
      </fill>
    </dxf>
    <dxf>
      <fill>
        <patternFill>
          <bgColor theme="9"/>
        </patternFill>
      </fill>
    </dxf>
    <dxf>
      <fill>
        <patternFill>
          <bgColor rgb="FFFFFF00"/>
        </patternFill>
      </fill>
    </dxf>
    <dxf>
      <fill>
        <patternFill>
          <bgColor rgb="FFFF0000"/>
        </patternFill>
      </fill>
    </dxf>
    <dxf>
      <fill>
        <patternFill>
          <bgColor rgb="FFFFC000"/>
        </patternFill>
      </fill>
    </dxf>
    <dxf>
      <fill>
        <patternFill>
          <bgColor theme="9" tint="0.39994506668294322"/>
        </patternFill>
      </fill>
    </dxf>
    <dxf>
      <fill>
        <patternFill>
          <bgColor theme="7" tint="0.39994506668294322"/>
        </patternFill>
      </fill>
    </dxf>
    <dxf>
      <fill>
        <patternFill>
          <bgColor rgb="FFFF0000"/>
        </patternFill>
      </fill>
    </dxf>
    <dxf>
      <fill>
        <patternFill>
          <bgColor theme="9"/>
        </patternFill>
      </fill>
    </dxf>
    <dxf>
      <fill>
        <patternFill>
          <bgColor rgb="FFFFFF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6" Type="http://schemas.openxmlformats.org/officeDocument/2006/relationships/calcChain" Target="calcChain.xml"/><Relationship Id="rId7"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drawings/drawing1.xml><?xml version="1.0" encoding="utf-8"?>
<xdr:wsDr xmlns:xdr="http://schemas.openxmlformats.org/drawingml/2006/spreadsheetDrawing" xmlns:a="http://schemas.openxmlformats.org/drawingml/2006/main">
  <xdr:twoCellAnchor>
    <xdr:from>
      <xdr:col>0</xdr:col>
      <xdr:colOff>711200</xdr:colOff>
      <xdr:row>27</xdr:row>
      <xdr:rowOff>114300</xdr:rowOff>
    </xdr:from>
    <xdr:to>
      <xdr:col>14</xdr:col>
      <xdr:colOff>660400</xdr:colOff>
      <xdr:row>32</xdr:row>
      <xdr:rowOff>12700</xdr:rowOff>
    </xdr:to>
    <xdr:sp macro="" textlink="">
      <xdr:nvSpPr>
        <xdr:cNvPr id="2" name="Rectangle 1"/>
        <xdr:cNvSpPr/>
      </xdr:nvSpPr>
      <xdr:spPr>
        <a:xfrm>
          <a:off x="711200" y="5257800"/>
          <a:ext cx="13970000" cy="8636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a:t>Add</a:t>
          </a:r>
          <a:r>
            <a:rPr lang="en-US" sz="1400" baseline="0"/>
            <a:t> or subtract as many parameters as you like.  The Macro is run with CTRL+SHIFT+OPTION+A.  This will sort the students be period, by lowest to highest score on each heading, going from left to right.  You can edit the priorities by going to "Sort and Filter" in the top right, custom sort, and then (for example) having it sort by writing first, then exams, etc.  I ranked each parameter each unit based on what my curriculum demanded of the students.  To reset, just highlight the period field, and hit "sort low to high"</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V108"/>
  <sheetViews>
    <sheetView workbookViewId="0">
      <selection activeCell="C2" sqref="C2:C108"/>
    </sheetView>
  </sheetViews>
  <sheetFormatPr baseColWidth="10" defaultColWidth="8.83203125" defaultRowHeight="15" x14ac:dyDescent="0.2"/>
  <cols>
    <col min="1" max="1" width="10.5" style="2" customWidth="1"/>
    <col min="2" max="2" width="14.5" style="2" customWidth="1"/>
    <col min="3" max="4" width="8.6640625" style="2" customWidth="1"/>
    <col min="5" max="5" width="12.1640625" style="2" customWidth="1"/>
    <col min="6" max="6" width="6.33203125" style="2" customWidth="1"/>
    <col min="7" max="7" width="5.6640625" style="2" customWidth="1"/>
    <col min="8" max="8" width="6.33203125" style="2" customWidth="1"/>
    <col min="9" max="9" width="5.33203125" style="2" customWidth="1"/>
    <col min="10" max="10" width="5.5" style="2" customWidth="1"/>
    <col min="11" max="11" width="5.1640625" style="2" customWidth="1"/>
    <col min="12" max="12" width="4.6640625" style="2" customWidth="1"/>
    <col min="13" max="13" width="5.1640625" style="2" customWidth="1"/>
    <col min="14" max="14" width="5.5" style="2" customWidth="1"/>
    <col min="15" max="15" width="12.6640625" style="2" customWidth="1"/>
    <col min="16" max="16" width="7.83203125" style="2" customWidth="1"/>
    <col min="17" max="17" width="7.5" customWidth="1"/>
    <col min="18" max="19" width="6.6640625" customWidth="1"/>
    <col min="20" max="20" width="8.83203125" customWidth="1"/>
    <col min="21" max="21" width="6.6640625" style="2" customWidth="1"/>
    <col min="22" max="22" width="9.6640625" style="9" customWidth="1"/>
  </cols>
  <sheetData>
    <row r="1" spans="1:22" x14ac:dyDescent="0.2">
      <c r="D1" s="2" t="s">
        <v>62</v>
      </c>
      <c r="F1" s="2" t="s">
        <v>63</v>
      </c>
      <c r="O1" s="2" t="s">
        <v>64</v>
      </c>
      <c r="R1" t="s">
        <v>65</v>
      </c>
      <c r="V1" s="9" t="s">
        <v>66</v>
      </c>
    </row>
    <row r="2" spans="1:22" x14ac:dyDescent="0.2">
      <c r="A2" s="1" t="s">
        <v>0</v>
      </c>
      <c r="B2" s="1" t="s">
        <v>1</v>
      </c>
      <c r="C2" s="1" t="s">
        <v>2</v>
      </c>
      <c r="D2" s="1" t="s">
        <v>3</v>
      </c>
      <c r="E2" s="1" t="s">
        <v>42</v>
      </c>
      <c r="F2" s="1">
        <v>1</v>
      </c>
      <c r="G2" s="1">
        <v>2</v>
      </c>
      <c r="H2" s="1">
        <v>3</v>
      </c>
      <c r="I2" s="1">
        <v>4</v>
      </c>
      <c r="J2" s="1">
        <v>5</v>
      </c>
      <c r="K2" s="1">
        <v>6</v>
      </c>
      <c r="L2" s="1">
        <v>7</v>
      </c>
      <c r="M2" s="1">
        <v>8</v>
      </c>
      <c r="N2" s="1">
        <v>9</v>
      </c>
      <c r="O2" s="1" t="s">
        <v>61</v>
      </c>
      <c r="P2" s="1" t="s">
        <v>41</v>
      </c>
      <c r="Q2" s="1" t="s">
        <v>57</v>
      </c>
      <c r="R2" s="1" t="s">
        <v>58</v>
      </c>
      <c r="S2" s="1" t="s">
        <v>59</v>
      </c>
      <c r="T2" s="1" t="s">
        <v>60</v>
      </c>
      <c r="U2" s="1" t="s">
        <v>41</v>
      </c>
      <c r="V2" s="4" t="s">
        <v>43</v>
      </c>
    </row>
    <row r="3" spans="1:22" x14ac:dyDescent="0.2">
      <c r="C3" s="2">
        <v>3</v>
      </c>
      <c r="D3" s="2" t="s">
        <v>31</v>
      </c>
      <c r="E3" s="2">
        <v>4</v>
      </c>
      <c r="F3" s="2">
        <v>100</v>
      </c>
      <c r="G3" s="2">
        <v>98</v>
      </c>
      <c r="H3" s="2">
        <v>96</v>
      </c>
      <c r="I3" s="2">
        <v>91</v>
      </c>
      <c r="K3" s="2" t="s">
        <v>4</v>
      </c>
      <c r="N3" s="2" t="s">
        <v>4</v>
      </c>
      <c r="O3" s="6">
        <f t="shared" ref="O3:O34" si="0">(F3+G3+H3+I3)/4</f>
        <v>96.25</v>
      </c>
      <c r="P3" s="7">
        <f t="shared" ref="P3:P34" si="1">O3-D3</f>
        <v>10.25</v>
      </c>
      <c r="Q3" s="2">
        <v>90</v>
      </c>
      <c r="R3" s="2">
        <v>92</v>
      </c>
      <c r="S3" s="2"/>
      <c r="T3" s="2">
        <f t="shared" ref="T3:T34" si="2">(Q3+R3)/2</f>
        <v>91</v>
      </c>
      <c r="U3" s="3">
        <f t="shared" ref="U3:U34" si="3">T3-D3</f>
        <v>5</v>
      </c>
      <c r="V3" s="8">
        <f t="shared" ref="V3:V11" si="4">O3-T3</f>
        <v>5.25</v>
      </c>
    </row>
    <row r="4" spans="1:22" x14ac:dyDescent="0.2">
      <c r="C4" s="2">
        <v>3</v>
      </c>
      <c r="D4" s="2" t="s">
        <v>13</v>
      </c>
      <c r="E4" s="2">
        <v>4</v>
      </c>
      <c r="F4" s="2">
        <v>93</v>
      </c>
      <c r="G4" s="2">
        <v>84</v>
      </c>
      <c r="H4" s="2">
        <v>89</v>
      </c>
      <c r="I4" s="2">
        <v>93</v>
      </c>
      <c r="K4" s="2" t="s">
        <v>4</v>
      </c>
      <c r="N4" s="2" t="s">
        <v>4</v>
      </c>
      <c r="O4" s="6">
        <f t="shared" si="0"/>
        <v>89.75</v>
      </c>
      <c r="P4" s="7">
        <f t="shared" si="1"/>
        <v>6.75</v>
      </c>
      <c r="Q4" s="2">
        <v>82</v>
      </c>
      <c r="R4" s="2">
        <v>88</v>
      </c>
      <c r="S4" s="2"/>
      <c r="T4" s="2">
        <f t="shared" si="2"/>
        <v>85</v>
      </c>
      <c r="U4" s="3">
        <f t="shared" si="3"/>
        <v>2</v>
      </c>
      <c r="V4" s="8">
        <f t="shared" si="4"/>
        <v>4.75</v>
      </c>
    </row>
    <row r="5" spans="1:22" x14ac:dyDescent="0.2">
      <c r="C5" s="2">
        <v>3</v>
      </c>
      <c r="D5" s="2" t="s">
        <v>18</v>
      </c>
      <c r="E5" s="2">
        <v>4</v>
      </c>
      <c r="F5" s="2">
        <v>94</v>
      </c>
      <c r="G5" s="2">
        <v>86</v>
      </c>
      <c r="H5" s="2">
        <v>87</v>
      </c>
      <c r="I5" s="2">
        <v>88</v>
      </c>
      <c r="K5" s="2" t="s">
        <v>4</v>
      </c>
      <c r="N5" s="2" t="s">
        <v>4</v>
      </c>
      <c r="O5" s="6">
        <f t="shared" si="0"/>
        <v>88.75</v>
      </c>
      <c r="P5" s="7">
        <f t="shared" si="1"/>
        <v>6.75</v>
      </c>
      <c r="Q5" s="2">
        <v>77</v>
      </c>
      <c r="R5" s="2">
        <v>82</v>
      </c>
      <c r="S5" s="2"/>
      <c r="T5" s="2">
        <f t="shared" si="2"/>
        <v>79.5</v>
      </c>
      <c r="U5" s="3">
        <f t="shared" si="3"/>
        <v>-2.5</v>
      </c>
      <c r="V5" s="8">
        <f t="shared" si="4"/>
        <v>9.25</v>
      </c>
    </row>
    <row r="6" spans="1:22" x14ac:dyDescent="0.2">
      <c r="C6" s="2">
        <v>3</v>
      </c>
      <c r="D6" s="2" t="s">
        <v>20</v>
      </c>
      <c r="E6" s="2">
        <v>3</v>
      </c>
      <c r="F6" s="2">
        <v>86</v>
      </c>
      <c r="G6" s="2">
        <v>80</v>
      </c>
      <c r="H6" s="2">
        <v>85</v>
      </c>
      <c r="I6" s="2">
        <v>92</v>
      </c>
      <c r="K6" s="2" t="s">
        <v>4</v>
      </c>
      <c r="N6" s="2" t="s">
        <v>4</v>
      </c>
      <c r="O6" s="6">
        <f t="shared" si="0"/>
        <v>85.75</v>
      </c>
      <c r="P6" s="7">
        <f t="shared" si="1"/>
        <v>10.75</v>
      </c>
      <c r="Q6" s="2">
        <v>76</v>
      </c>
      <c r="R6" s="2">
        <v>70</v>
      </c>
      <c r="S6" s="2"/>
      <c r="T6" s="2">
        <f t="shared" si="2"/>
        <v>73</v>
      </c>
      <c r="U6" s="3">
        <f t="shared" si="3"/>
        <v>-2</v>
      </c>
      <c r="V6" s="8">
        <f t="shared" si="4"/>
        <v>12.75</v>
      </c>
    </row>
    <row r="7" spans="1:22" x14ac:dyDescent="0.2">
      <c r="C7" s="2">
        <v>3</v>
      </c>
      <c r="D7" s="2" t="s">
        <v>18</v>
      </c>
      <c r="E7" s="2">
        <v>4</v>
      </c>
      <c r="F7" s="2">
        <v>99</v>
      </c>
      <c r="G7" s="2">
        <v>85</v>
      </c>
      <c r="H7" s="2">
        <v>93</v>
      </c>
      <c r="I7" s="2">
        <v>90</v>
      </c>
      <c r="K7" s="2" t="s">
        <v>4</v>
      </c>
      <c r="N7" s="2" t="s">
        <v>4</v>
      </c>
      <c r="O7" s="6">
        <f t="shared" si="0"/>
        <v>91.75</v>
      </c>
      <c r="P7" s="7">
        <f t="shared" si="1"/>
        <v>9.75</v>
      </c>
      <c r="Q7" s="2">
        <v>76</v>
      </c>
      <c r="R7" s="2">
        <v>87</v>
      </c>
      <c r="S7" s="2"/>
      <c r="T7" s="2">
        <f t="shared" si="2"/>
        <v>81.5</v>
      </c>
      <c r="U7" s="3">
        <f t="shared" si="3"/>
        <v>-0.5</v>
      </c>
      <c r="V7" s="8">
        <f t="shared" si="4"/>
        <v>10.25</v>
      </c>
    </row>
    <row r="8" spans="1:22" x14ac:dyDescent="0.2">
      <c r="C8" s="2">
        <v>3</v>
      </c>
      <c r="D8" s="2" t="s">
        <v>18</v>
      </c>
      <c r="E8" s="2">
        <v>4</v>
      </c>
      <c r="F8" s="2">
        <v>100</v>
      </c>
      <c r="G8" s="2">
        <v>99</v>
      </c>
      <c r="H8" s="2">
        <v>96</v>
      </c>
      <c r="I8" s="2">
        <v>96</v>
      </c>
      <c r="K8" s="2" t="s">
        <v>4</v>
      </c>
      <c r="N8" s="2" t="s">
        <v>4</v>
      </c>
      <c r="O8" s="6">
        <f t="shared" si="0"/>
        <v>97.75</v>
      </c>
      <c r="P8" s="7">
        <f t="shared" si="1"/>
        <v>15.75</v>
      </c>
      <c r="Q8" s="2">
        <v>73</v>
      </c>
      <c r="R8" s="2">
        <v>92</v>
      </c>
      <c r="S8" s="2"/>
      <c r="T8" s="2">
        <f t="shared" si="2"/>
        <v>82.5</v>
      </c>
      <c r="U8" s="3">
        <f t="shared" si="3"/>
        <v>0.5</v>
      </c>
      <c r="V8" s="8">
        <f t="shared" si="4"/>
        <v>15.25</v>
      </c>
    </row>
    <row r="9" spans="1:22" x14ac:dyDescent="0.2">
      <c r="C9" s="2">
        <v>3</v>
      </c>
      <c r="D9" s="2" t="s">
        <v>24</v>
      </c>
      <c r="E9" s="2">
        <v>4</v>
      </c>
      <c r="F9" s="2">
        <v>78</v>
      </c>
      <c r="G9" s="2">
        <v>88</v>
      </c>
      <c r="H9" s="2">
        <v>81</v>
      </c>
      <c r="I9" s="2">
        <v>89</v>
      </c>
      <c r="K9" s="2" t="s">
        <v>4</v>
      </c>
      <c r="N9" s="2" t="s">
        <v>4</v>
      </c>
      <c r="O9" s="6">
        <f t="shared" si="0"/>
        <v>84</v>
      </c>
      <c r="P9" s="7">
        <f t="shared" si="1"/>
        <v>3</v>
      </c>
      <c r="Q9" s="2">
        <v>72</v>
      </c>
      <c r="R9" s="2">
        <v>82</v>
      </c>
      <c r="S9" s="2"/>
      <c r="T9" s="2">
        <f t="shared" si="2"/>
        <v>77</v>
      </c>
      <c r="U9" s="3">
        <f t="shared" si="3"/>
        <v>-4</v>
      </c>
      <c r="V9" s="8">
        <f t="shared" si="4"/>
        <v>7</v>
      </c>
    </row>
    <row r="10" spans="1:22" x14ac:dyDescent="0.2">
      <c r="C10" s="2">
        <v>3</v>
      </c>
      <c r="D10" s="2" t="s">
        <v>9</v>
      </c>
      <c r="E10" s="2">
        <v>3</v>
      </c>
      <c r="F10" s="2">
        <v>80</v>
      </c>
      <c r="G10" s="2">
        <v>77</v>
      </c>
      <c r="H10" s="2">
        <v>75</v>
      </c>
      <c r="I10" s="2">
        <v>74</v>
      </c>
      <c r="K10" s="2" t="s">
        <v>4</v>
      </c>
      <c r="N10" s="2" t="s">
        <v>4</v>
      </c>
      <c r="O10" s="6">
        <f t="shared" si="0"/>
        <v>76.5</v>
      </c>
      <c r="P10" s="7">
        <f t="shared" si="1"/>
        <v>3.5</v>
      </c>
      <c r="Q10" s="2">
        <v>71</v>
      </c>
      <c r="R10" s="2">
        <v>79</v>
      </c>
      <c r="S10" s="2"/>
      <c r="T10" s="2">
        <f t="shared" si="2"/>
        <v>75</v>
      </c>
      <c r="U10" s="3">
        <f t="shared" si="3"/>
        <v>2</v>
      </c>
      <c r="V10" s="8">
        <f t="shared" si="4"/>
        <v>1.5</v>
      </c>
    </row>
    <row r="11" spans="1:22" x14ac:dyDescent="0.2">
      <c r="C11" s="2">
        <v>3</v>
      </c>
      <c r="D11" s="2" t="s">
        <v>16</v>
      </c>
      <c r="E11" s="2">
        <v>3</v>
      </c>
      <c r="F11" s="2">
        <v>82</v>
      </c>
      <c r="G11" s="2">
        <v>86</v>
      </c>
      <c r="H11" s="2">
        <v>81</v>
      </c>
      <c r="I11" s="2">
        <v>83</v>
      </c>
      <c r="K11" s="2" t="s">
        <v>4</v>
      </c>
      <c r="N11" s="2" t="s">
        <v>4</v>
      </c>
      <c r="O11" s="6">
        <f t="shared" si="0"/>
        <v>83</v>
      </c>
      <c r="P11" s="7">
        <f t="shared" si="1"/>
        <v>13</v>
      </c>
      <c r="Q11" s="2">
        <v>70</v>
      </c>
      <c r="R11" s="2">
        <v>69</v>
      </c>
      <c r="S11" s="2"/>
      <c r="T11" s="2">
        <f t="shared" si="2"/>
        <v>69.5</v>
      </c>
      <c r="U11" s="3">
        <f t="shared" si="3"/>
        <v>-0.5</v>
      </c>
      <c r="V11" s="8">
        <f t="shared" si="4"/>
        <v>13.5</v>
      </c>
    </row>
    <row r="12" spans="1:22" x14ac:dyDescent="0.2">
      <c r="C12" s="2">
        <v>3</v>
      </c>
      <c r="D12" s="2" t="s">
        <v>36</v>
      </c>
      <c r="E12" s="2">
        <v>3</v>
      </c>
      <c r="F12" s="2">
        <v>87</v>
      </c>
      <c r="G12" s="2">
        <v>75</v>
      </c>
      <c r="H12" s="2">
        <v>79</v>
      </c>
      <c r="I12" s="2">
        <v>84</v>
      </c>
      <c r="K12" s="2" t="s">
        <v>4</v>
      </c>
      <c r="N12" s="2" t="s">
        <v>4</v>
      </c>
      <c r="O12" s="6">
        <f t="shared" si="0"/>
        <v>81.25</v>
      </c>
      <c r="P12" s="7">
        <f t="shared" si="1"/>
        <v>7.25</v>
      </c>
      <c r="Q12" s="2">
        <v>70</v>
      </c>
      <c r="R12" s="2">
        <v>70</v>
      </c>
      <c r="S12" s="2"/>
      <c r="T12" s="2">
        <f t="shared" si="2"/>
        <v>70</v>
      </c>
      <c r="U12" s="3">
        <f t="shared" si="3"/>
        <v>-4</v>
      </c>
      <c r="V12" s="8"/>
    </row>
    <row r="13" spans="1:22" x14ac:dyDescent="0.2">
      <c r="C13" s="2">
        <v>3</v>
      </c>
      <c r="D13" s="2" t="s">
        <v>8</v>
      </c>
      <c r="E13" s="2">
        <v>1</v>
      </c>
      <c r="F13" s="2">
        <v>81</v>
      </c>
      <c r="G13" s="2">
        <v>70</v>
      </c>
      <c r="H13" s="2">
        <v>66</v>
      </c>
      <c r="I13" s="2">
        <v>77</v>
      </c>
      <c r="K13" s="2" t="s">
        <v>4</v>
      </c>
      <c r="N13" s="2" t="s">
        <v>4</v>
      </c>
      <c r="O13" s="6">
        <f t="shared" si="0"/>
        <v>73.5</v>
      </c>
      <c r="P13" s="7">
        <f t="shared" si="1"/>
        <v>14.5</v>
      </c>
      <c r="Q13" s="2">
        <v>68</v>
      </c>
      <c r="R13" s="2">
        <v>74</v>
      </c>
      <c r="S13" s="2"/>
      <c r="T13" s="2">
        <f t="shared" si="2"/>
        <v>71</v>
      </c>
      <c r="U13" s="3">
        <f t="shared" si="3"/>
        <v>12</v>
      </c>
      <c r="V13" s="8">
        <f t="shared" ref="V13:V28" si="5">O13-T13</f>
        <v>2.5</v>
      </c>
    </row>
    <row r="14" spans="1:22" x14ac:dyDescent="0.2">
      <c r="C14" s="2">
        <v>3</v>
      </c>
      <c r="D14" s="2" t="s">
        <v>37</v>
      </c>
      <c r="E14" s="2">
        <v>3</v>
      </c>
      <c r="F14" s="2">
        <v>92</v>
      </c>
      <c r="G14" s="2">
        <v>81</v>
      </c>
      <c r="H14" s="2">
        <v>79</v>
      </c>
      <c r="I14" s="2">
        <v>87</v>
      </c>
      <c r="K14" s="2" t="s">
        <v>4</v>
      </c>
      <c r="N14" s="2" t="s">
        <v>4</v>
      </c>
      <c r="O14" s="6">
        <f t="shared" si="0"/>
        <v>84.75</v>
      </c>
      <c r="P14" s="7">
        <f t="shared" si="1"/>
        <v>8.75</v>
      </c>
      <c r="Q14" s="2">
        <v>67</v>
      </c>
      <c r="R14" s="2">
        <v>71</v>
      </c>
      <c r="S14" s="2"/>
      <c r="T14" s="2">
        <f t="shared" si="2"/>
        <v>69</v>
      </c>
      <c r="U14" s="3">
        <f t="shared" si="3"/>
        <v>-7</v>
      </c>
      <c r="V14" s="8">
        <f t="shared" si="5"/>
        <v>15.75</v>
      </c>
    </row>
    <row r="15" spans="1:22" x14ac:dyDescent="0.2">
      <c r="C15" s="2">
        <v>3</v>
      </c>
      <c r="D15" s="2" t="s">
        <v>32</v>
      </c>
      <c r="E15" s="2">
        <v>3</v>
      </c>
      <c r="F15" s="2">
        <v>94</v>
      </c>
      <c r="G15" s="2">
        <v>74</v>
      </c>
      <c r="H15" s="2">
        <v>74</v>
      </c>
      <c r="I15" s="2">
        <v>72</v>
      </c>
      <c r="K15" s="2" t="s">
        <v>4</v>
      </c>
      <c r="N15" s="2" t="s">
        <v>4</v>
      </c>
      <c r="O15" s="6">
        <f t="shared" si="0"/>
        <v>78.5</v>
      </c>
      <c r="P15" s="7">
        <f t="shared" si="1"/>
        <v>7.5</v>
      </c>
      <c r="Q15" s="2">
        <v>65</v>
      </c>
      <c r="R15" s="2">
        <v>73</v>
      </c>
      <c r="S15" s="2"/>
      <c r="T15" s="2">
        <f t="shared" si="2"/>
        <v>69</v>
      </c>
      <c r="U15" s="3">
        <f t="shared" si="3"/>
        <v>-2</v>
      </c>
      <c r="V15" s="8">
        <f t="shared" si="5"/>
        <v>9.5</v>
      </c>
    </row>
    <row r="16" spans="1:22" x14ac:dyDescent="0.2">
      <c r="C16" s="2">
        <v>3</v>
      </c>
      <c r="D16" s="2" t="s">
        <v>10</v>
      </c>
      <c r="E16" s="2">
        <v>1</v>
      </c>
      <c r="F16" s="2">
        <v>87</v>
      </c>
      <c r="G16" s="2">
        <v>77</v>
      </c>
      <c r="H16" s="2">
        <v>78</v>
      </c>
      <c r="I16" s="2">
        <v>82</v>
      </c>
      <c r="K16" s="2" t="s">
        <v>4</v>
      </c>
      <c r="N16" s="2" t="s">
        <v>4</v>
      </c>
      <c r="O16" s="6">
        <f t="shared" si="0"/>
        <v>81</v>
      </c>
      <c r="P16" s="7">
        <f t="shared" si="1"/>
        <v>24</v>
      </c>
      <c r="Q16" s="2">
        <v>63</v>
      </c>
      <c r="R16" s="2">
        <v>56</v>
      </c>
      <c r="S16" s="2"/>
      <c r="T16" s="2">
        <f t="shared" si="2"/>
        <v>59.5</v>
      </c>
      <c r="U16" s="3">
        <f t="shared" si="3"/>
        <v>2.5</v>
      </c>
      <c r="V16" s="8">
        <f t="shared" si="5"/>
        <v>21.5</v>
      </c>
    </row>
    <row r="17" spans="3:22" x14ac:dyDescent="0.2">
      <c r="C17" s="2">
        <v>3</v>
      </c>
      <c r="D17" s="2" t="s">
        <v>17</v>
      </c>
      <c r="E17" s="2">
        <v>4</v>
      </c>
      <c r="F17" s="2">
        <v>89</v>
      </c>
      <c r="G17" s="2">
        <v>73</v>
      </c>
      <c r="H17" s="2">
        <v>85</v>
      </c>
      <c r="I17" s="2">
        <v>85</v>
      </c>
      <c r="K17" s="2" t="s">
        <v>4</v>
      </c>
      <c r="N17" s="2" t="s">
        <v>4</v>
      </c>
      <c r="O17" s="6">
        <f t="shared" si="0"/>
        <v>83</v>
      </c>
      <c r="P17" s="7">
        <f t="shared" si="1"/>
        <v>-1</v>
      </c>
      <c r="Q17" s="2">
        <v>62</v>
      </c>
      <c r="R17" s="2">
        <v>80</v>
      </c>
      <c r="S17" s="2"/>
      <c r="T17" s="2">
        <f t="shared" si="2"/>
        <v>71</v>
      </c>
      <c r="U17" s="3">
        <f t="shared" si="3"/>
        <v>-13</v>
      </c>
      <c r="V17" s="8">
        <f t="shared" si="5"/>
        <v>12</v>
      </c>
    </row>
    <row r="18" spans="3:22" x14ac:dyDescent="0.2">
      <c r="C18" s="2">
        <v>3</v>
      </c>
      <c r="D18" s="2" t="s">
        <v>15</v>
      </c>
      <c r="E18" s="2">
        <v>1</v>
      </c>
      <c r="F18" s="2">
        <v>78</v>
      </c>
      <c r="G18" s="2">
        <v>71</v>
      </c>
      <c r="H18" s="2">
        <v>62</v>
      </c>
      <c r="I18" s="2">
        <v>78</v>
      </c>
      <c r="K18" s="2" t="s">
        <v>4</v>
      </c>
      <c r="N18" s="2" t="s">
        <v>4</v>
      </c>
      <c r="O18" s="6">
        <f t="shared" si="0"/>
        <v>72.25</v>
      </c>
      <c r="P18" s="7">
        <f t="shared" si="1"/>
        <v>16.25</v>
      </c>
      <c r="Q18" s="2">
        <v>61</v>
      </c>
      <c r="R18" s="2">
        <v>48</v>
      </c>
      <c r="S18" s="2"/>
      <c r="T18" s="2">
        <f t="shared" si="2"/>
        <v>54.5</v>
      </c>
      <c r="U18" s="3">
        <f t="shared" si="3"/>
        <v>-1.5</v>
      </c>
      <c r="V18" s="8">
        <f t="shared" si="5"/>
        <v>17.75</v>
      </c>
    </row>
    <row r="19" spans="3:22" x14ac:dyDescent="0.2">
      <c r="C19" s="2">
        <v>3</v>
      </c>
      <c r="D19" s="2" t="s">
        <v>32</v>
      </c>
      <c r="E19" s="2">
        <v>3</v>
      </c>
      <c r="F19" s="2">
        <v>81</v>
      </c>
      <c r="G19" s="2">
        <v>80</v>
      </c>
      <c r="H19" s="2">
        <v>72</v>
      </c>
      <c r="I19" s="2">
        <v>83</v>
      </c>
      <c r="K19" s="2" t="s">
        <v>4</v>
      </c>
      <c r="N19" s="2" t="s">
        <v>4</v>
      </c>
      <c r="O19" s="6">
        <f t="shared" si="0"/>
        <v>79</v>
      </c>
      <c r="P19" s="7">
        <f t="shared" si="1"/>
        <v>8</v>
      </c>
      <c r="Q19" s="2">
        <v>61</v>
      </c>
      <c r="R19" s="2">
        <v>65</v>
      </c>
      <c r="S19" s="2"/>
      <c r="T19" s="2">
        <f t="shared" si="2"/>
        <v>63</v>
      </c>
      <c r="U19" s="3">
        <f t="shared" si="3"/>
        <v>-8</v>
      </c>
      <c r="V19" s="8">
        <f t="shared" si="5"/>
        <v>16</v>
      </c>
    </row>
    <row r="20" spans="3:22" x14ac:dyDescent="0.2">
      <c r="C20" s="2">
        <v>3</v>
      </c>
      <c r="D20" s="2" t="s">
        <v>9</v>
      </c>
      <c r="E20" s="2">
        <v>3</v>
      </c>
      <c r="F20" s="2">
        <v>88</v>
      </c>
      <c r="G20" s="2">
        <v>76</v>
      </c>
      <c r="H20" s="2">
        <v>80</v>
      </c>
      <c r="I20" s="2">
        <v>91</v>
      </c>
      <c r="K20" s="2" t="s">
        <v>4</v>
      </c>
      <c r="N20" s="2" t="s">
        <v>4</v>
      </c>
      <c r="O20" s="6">
        <f t="shared" si="0"/>
        <v>83.75</v>
      </c>
      <c r="P20" s="7">
        <f t="shared" si="1"/>
        <v>10.75</v>
      </c>
      <c r="Q20" s="2">
        <v>61</v>
      </c>
      <c r="R20" s="2">
        <v>76</v>
      </c>
      <c r="S20" s="2"/>
      <c r="T20" s="2">
        <f t="shared" si="2"/>
        <v>68.5</v>
      </c>
      <c r="U20" s="3">
        <f t="shared" si="3"/>
        <v>-4.5</v>
      </c>
      <c r="V20" s="8">
        <f t="shared" si="5"/>
        <v>15.25</v>
      </c>
    </row>
    <row r="21" spans="3:22" x14ac:dyDescent="0.2">
      <c r="C21" s="2">
        <v>3</v>
      </c>
      <c r="D21" s="2" t="s">
        <v>29</v>
      </c>
      <c r="E21" s="2">
        <v>2</v>
      </c>
      <c r="F21" s="2">
        <v>84</v>
      </c>
      <c r="G21" s="2">
        <v>74</v>
      </c>
      <c r="H21" s="2">
        <v>60</v>
      </c>
      <c r="I21" s="2">
        <v>70</v>
      </c>
      <c r="K21" s="2" t="s">
        <v>4</v>
      </c>
      <c r="N21" s="2" t="s">
        <v>4</v>
      </c>
      <c r="O21" s="6">
        <f t="shared" si="0"/>
        <v>72</v>
      </c>
      <c r="P21" s="7">
        <f t="shared" si="1"/>
        <v>6</v>
      </c>
      <c r="Q21" s="2">
        <v>61</v>
      </c>
      <c r="R21" s="2">
        <v>55</v>
      </c>
      <c r="S21" s="2"/>
      <c r="T21" s="2">
        <f t="shared" si="2"/>
        <v>58</v>
      </c>
      <c r="U21" s="3">
        <f t="shared" si="3"/>
        <v>-8</v>
      </c>
      <c r="V21" s="8">
        <f t="shared" si="5"/>
        <v>14</v>
      </c>
    </row>
    <row r="22" spans="3:22" x14ac:dyDescent="0.2">
      <c r="C22" s="2">
        <v>3</v>
      </c>
      <c r="D22" s="2" t="s">
        <v>9</v>
      </c>
      <c r="E22" s="2">
        <v>3</v>
      </c>
      <c r="F22" s="2">
        <v>86</v>
      </c>
      <c r="G22" s="2">
        <v>78</v>
      </c>
      <c r="H22" s="2">
        <v>79</v>
      </c>
      <c r="I22" s="2">
        <v>81</v>
      </c>
      <c r="K22" s="2" t="s">
        <v>4</v>
      </c>
      <c r="N22" s="2" t="s">
        <v>4</v>
      </c>
      <c r="O22" s="6">
        <f t="shared" si="0"/>
        <v>81</v>
      </c>
      <c r="P22" s="7">
        <f t="shared" si="1"/>
        <v>8</v>
      </c>
      <c r="Q22" s="2">
        <v>61</v>
      </c>
      <c r="R22" s="2">
        <v>74</v>
      </c>
      <c r="S22" s="2"/>
      <c r="T22" s="2">
        <f t="shared" si="2"/>
        <v>67.5</v>
      </c>
      <c r="U22" s="3">
        <f t="shared" si="3"/>
        <v>-5.5</v>
      </c>
      <c r="V22" s="8">
        <f t="shared" si="5"/>
        <v>13.5</v>
      </c>
    </row>
    <row r="23" spans="3:22" x14ac:dyDescent="0.2">
      <c r="C23" s="2">
        <v>3</v>
      </c>
      <c r="D23" s="2" t="s">
        <v>9</v>
      </c>
      <c r="E23" s="2">
        <v>3</v>
      </c>
      <c r="F23" s="2">
        <v>74</v>
      </c>
      <c r="G23" s="2">
        <v>75</v>
      </c>
      <c r="H23" s="2">
        <v>82</v>
      </c>
      <c r="I23" s="2">
        <v>83</v>
      </c>
      <c r="K23" s="2" t="s">
        <v>4</v>
      </c>
      <c r="N23" s="2" t="s">
        <v>4</v>
      </c>
      <c r="O23" s="6">
        <f t="shared" si="0"/>
        <v>78.5</v>
      </c>
      <c r="P23" s="7">
        <f t="shared" si="1"/>
        <v>5.5</v>
      </c>
      <c r="Q23" s="2">
        <v>61</v>
      </c>
      <c r="R23" s="2">
        <v>71</v>
      </c>
      <c r="S23" s="2"/>
      <c r="T23" s="2">
        <f t="shared" si="2"/>
        <v>66</v>
      </c>
      <c r="U23" s="3">
        <f t="shared" si="3"/>
        <v>-7</v>
      </c>
      <c r="V23" s="8">
        <f t="shared" si="5"/>
        <v>12.5</v>
      </c>
    </row>
    <row r="24" spans="3:22" x14ac:dyDescent="0.2">
      <c r="C24" s="2">
        <v>3</v>
      </c>
      <c r="D24" s="2" t="s">
        <v>29</v>
      </c>
      <c r="E24" s="2">
        <v>2</v>
      </c>
      <c r="F24" s="2">
        <v>81</v>
      </c>
      <c r="G24" s="2">
        <v>75</v>
      </c>
      <c r="H24" s="2">
        <v>85</v>
      </c>
      <c r="I24" s="2">
        <v>90</v>
      </c>
      <c r="K24" s="2" t="s">
        <v>4</v>
      </c>
      <c r="N24" s="2" t="s">
        <v>4</v>
      </c>
      <c r="O24" s="6">
        <f t="shared" si="0"/>
        <v>82.75</v>
      </c>
      <c r="P24" s="7">
        <f t="shared" si="1"/>
        <v>16.75</v>
      </c>
      <c r="Q24" s="2">
        <v>60</v>
      </c>
      <c r="R24" s="2">
        <v>68</v>
      </c>
      <c r="S24" s="2"/>
      <c r="T24" s="2">
        <f t="shared" si="2"/>
        <v>64</v>
      </c>
      <c r="U24" s="3">
        <f t="shared" si="3"/>
        <v>-2</v>
      </c>
      <c r="V24" s="8">
        <f t="shared" si="5"/>
        <v>18.75</v>
      </c>
    </row>
    <row r="25" spans="3:22" x14ac:dyDescent="0.2">
      <c r="C25" s="2">
        <v>3</v>
      </c>
      <c r="D25" s="2" t="s">
        <v>29</v>
      </c>
      <c r="E25" s="2">
        <v>2</v>
      </c>
      <c r="F25" s="2">
        <v>93</v>
      </c>
      <c r="G25" s="2">
        <v>79</v>
      </c>
      <c r="H25" s="2">
        <v>81</v>
      </c>
      <c r="I25" s="2">
        <v>88</v>
      </c>
      <c r="K25" s="2" t="s">
        <v>4</v>
      </c>
      <c r="N25" s="2" t="s">
        <v>4</v>
      </c>
      <c r="O25" s="6">
        <f t="shared" si="0"/>
        <v>85.25</v>
      </c>
      <c r="P25" s="7">
        <f t="shared" si="1"/>
        <v>19.25</v>
      </c>
      <c r="Q25" s="2">
        <v>52</v>
      </c>
      <c r="R25" s="2">
        <v>70</v>
      </c>
      <c r="S25" s="2"/>
      <c r="T25" s="2">
        <f t="shared" si="2"/>
        <v>61</v>
      </c>
      <c r="U25" s="3">
        <f t="shared" si="3"/>
        <v>-5</v>
      </c>
      <c r="V25" s="8">
        <f t="shared" si="5"/>
        <v>24.25</v>
      </c>
    </row>
    <row r="26" spans="3:22" x14ac:dyDescent="0.2">
      <c r="C26" s="2">
        <v>3</v>
      </c>
      <c r="D26" s="2" t="s">
        <v>25</v>
      </c>
      <c r="E26" s="2">
        <v>2</v>
      </c>
      <c r="F26" s="2">
        <v>66</v>
      </c>
      <c r="G26" s="2">
        <v>76</v>
      </c>
      <c r="H26" s="2">
        <v>74</v>
      </c>
      <c r="I26" s="2">
        <v>73</v>
      </c>
      <c r="K26" s="2" t="s">
        <v>4</v>
      </c>
      <c r="N26" s="2" t="s">
        <v>4</v>
      </c>
      <c r="O26" s="6">
        <f t="shared" si="0"/>
        <v>72.25</v>
      </c>
      <c r="P26" s="7">
        <f t="shared" si="1"/>
        <v>7.25</v>
      </c>
      <c r="Q26" s="2">
        <v>52</v>
      </c>
      <c r="R26" s="2">
        <v>72</v>
      </c>
      <c r="S26" s="2"/>
      <c r="T26" s="2">
        <f t="shared" si="2"/>
        <v>62</v>
      </c>
      <c r="U26" s="3">
        <f t="shared" si="3"/>
        <v>-3</v>
      </c>
      <c r="V26" s="8">
        <f t="shared" si="5"/>
        <v>10.25</v>
      </c>
    </row>
    <row r="27" spans="3:22" x14ac:dyDescent="0.2">
      <c r="C27" s="2">
        <v>3</v>
      </c>
      <c r="D27" s="2" t="s">
        <v>19</v>
      </c>
      <c r="E27" s="2">
        <v>2</v>
      </c>
      <c r="F27" s="2">
        <v>71</v>
      </c>
      <c r="G27" s="2">
        <v>74</v>
      </c>
      <c r="H27" s="2">
        <v>65</v>
      </c>
      <c r="I27" s="2">
        <v>74</v>
      </c>
      <c r="K27" s="2" t="s">
        <v>4</v>
      </c>
      <c r="N27" s="2" t="s">
        <v>4</v>
      </c>
      <c r="O27" s="6">
        <f t="shared" si="0"/>
        <v>71</v>
      </c>
      <c r="P27" s="7">
        <f t="shared" si="1"/>
        <v>7</v>
      </c>
      <c r="Q27" s="2">
        <v>50</v>
      </c>
      <c r="R27" s="2">
        <v>50</v>
      </c>
      <c r="S27" s="2"/>
      <c r="T27" s="2">
        <f t="shared" si="2"/>
        <v>50</v>
      </c>
      <c r="U27" s="3">
        <f t="shared" si="3"/>
        <v>-14</v>
      </c>
      <c r="V27" s="8">
        <f t="shared" si="5"/>
        <v>21</v>
      </c>
    </row>
    <row r="28" spans="3:22" x14ac:dyDescent="0.2">
      <c r="C28" s="2">
        <v>3</v>
      </c>
      <c r="D28" s="2" t="s">
        <v>12</v>
      </c>
      <c r="E28" s="2">
        <v>2</v>
      </c>
      <c r="F28" s="2">
        <v>68</v>
      </c>
      <c r="G28" s="2">
        <v>71</v>
      </c>
      <c r="H28" s="2">
        <v>54</v>
      </c>
      <c r="I28" s="2">
        <v>64</v>
      </c>
      <c r="K28" s="2" t="s">
        <v>4</v>
      </c>
      <c r="N28" s="2" t="s">
        <v>4</v>
      </c>
      <c r="O28" s="6">
        <f t="shared" si="0"/>
        <v>64.25</v>
      </c>
      <c r="P28" s="7">
        <f t="shared" si="1"/>
        <v>1.25</v>
      </c>
      <c r="Q28" s="2">
        <v>48</v>
      </c>
      <c r="R28" s="2">
        <v>45</v>
      </c>
      <c r="S28" s="2"/>
      <c r="T28" s="2">
        <f t="shared" si="2"/>
        <v>46.5</v>
      </c>
      <c r="U28" s="3">
        <f t="shared" si="3"/>
        <v>-16.5</v>
      </c>
      <c r="V28" s="8">
        <f t="shared" si="5"/>
        <v>17.75</v>
      </c>
    </row>
    <row r="29" spans="3:22" x14ac:dyDescent="0.2">
      <c r="C29" s="2">
        <v>3</v>
      </c>
      <c r="D29" s="2" t="s">
        <v>8</v>
      </c>
      <c r="E29" s="2">
        <v>1</v>
      </c>
      <c r="F29" s="2">
        <v>80</v>
      </c>
      <c r="G29" s="2">
        <v>70</v>
      </c>
      <c r="H29" s="2">
        <v>68</v>
      </c>
      <c r="I29" s="2">
        <v>65</v>
      </c>
      <c r="K29" s="2" t="s">
        <v>4</v>
      </c>
      <c r="N29" s="2" t="s">
        <v>4</v>
      </c>
      <c r="O29" s="6">
        <f t="shared" si="0"/>
        <v>70.75</v>
      </c>
      <c r="P29" s="7">
        <f t="shared" si="1"/>
        <v>11.75</v>
      </c>
      <c r="Q29" s="2"/>
      <c r="R29" s="2"/>
      <c r="S29" s="2"/>
      <c r="T29" s="2">
        <f t="shared" si="2"/>
        <v>0</v>
      </c>
      <c r="U29" s="3">
        <f t="shared" si="3"/>
        <v>-59</v>
      </c>
      <c r="V29" s="8"/>
    </row>
    <row r="30" spans="3:22" x14ac:dyDescent="0.2">
      <c r="C30" s="2">
        <v>5</v>
      </c>
      <c r="D30" s="2" t="s">
        <v>6</v>
      </c>
      <c r="E30" s="2">
        <v>3</v>
      </c>
      <c r="F30" s="2">
        <v>83</v>
      </c>
      <c r="G30" s="2">
        <v>72</v>
      </c>
      <c r="H30" s="2">
        <v>70</v>
      </c>
      <c r="I30" s="2">
        <v>73</v>
      </c>
      <c r="K30" s="2" t="s">
        <v>4</v>
      </c>
      <c r="N30" s="2" t="s">
        <v>4</v>
      </c>
      <c r="O30" s="6">
        <f t="shared" si="0"/>
        <v>74.5</v>
      </c>
      <c r="P30" s="7">
        <f t="shared" si="1"/>
        <v>2.5</v>
      </c>
      <c r="Q30" s="2">
        <v>71</v>
      </c>
      <c r="R30" s="2">
        <v>76</v>
      </c>
      <c r="S30" s="2"/>
      <c r="T30" s="2">
        <f t="shared" si="2"/>
        <v>73.5</v>
      </c>
      <c r="U30" s="3">
        <f t="shared" si="3"/>
        <v>1.5</v>
      </c>
      <c r="V30" s="8">
        <f t="shared" ref="V30:V61" si="6">O30-T30</f>
        <v>1</v>
      </c>
    </row>
    <row r="31" spans="3:22" x14ac:dyDescent="0.2">
      <c r="C31" s="2">
        <v>5</v>
      </c>
      <c r="D31" s="2" t="s">
        <v>28</v>
      </c>
      <c r="E31" s="2">
        <v>2</v>
      </c>
      <c r="F31" s="2">
        <v>65</v>
      </c>
      <c r="G31" s="2">
        <v>80</v>
      </c>
      <c r="H31" s="2">
        <v>84</v>
      </c>
      <c r="I31" s="2">
        <v>80</v>
      </c>
      <c r="K31" s="2" t="s">
        <v>4</v>
      </c>
      <c r="N31" s="2" t="s">
        <v>4</v>
      </c>
      <c r="O31" s="6">
        <f t="shared" si="0"/>
        <v>77.25</v>
      </c>
      <c r="P31" s="7">
        <f t="shared" si="1"/>
        <v>8.25</v>
      </c>
      <c r="Q31" s="2">
        <v>66</v>
      </c>
      <c r="R31" s="2">
        <v>70</v>
      </c>
      <c r="S31" s="2"/>
      <c r="T31" s="2">
        <f t="shared" si="2"/>
        <v>68</v>
      </c>
      <c r="U31" s="3">
        <f t="shared" si="3"/>
        <v>-1</v>
      </c>
      <c r="V31" s="8">
        <f t="shared" si="6"/>
        <v>9.25</v>
      </c>
    </row>
    <row r="32" spans="3:22" x14ac:dyDescent="0.2">
      <c r="C32" s="2">
        <v>5</v>
      </c>
      <c r="D32" s="2" t="s">
        <v>13</v>
      </c>
      <c r="E32" s="2">
        <v>4</v>
      </c>
      <c r="F32" s="2">
        <v>89</v>
      </c>
      <c r="G32" s="2">
        <v>84</v>
      </c>
      <c r="H32" s="2">
        <v>72</v>
      </c>
      <c r="I32" s="2">
        <v>78</v>
      </c>
      <c r="K32" s="2" t="s">
        <v>4</v>
      </c>
      <c r="N32" s="2" t="s">
        <v>4</v>
      </c>
      <c r="O32" s="6">
        <f t="shared" si="0"/>
        <v>80.75</v>
      </c>
      <c r="P32" s="7">
        <f t="shared" si="1"/>
        <v>-2.25</v>
      </c>
      <c r="Q32" s="2">
        <v>66</v>
      </c>
      <c r="R32" s="2">
        <v>81</v>
      </c>
      <c r="S32" s="2"/>
      <c r="T32" s="2">
        <f t="shared" si="2"/>
        <v>73.5</v>
      </c>
      <c r="U32" s="3">
        <f t="shared" si="3"/>
        <v>-9.5</v>
      </c>
      <c r="V32" s="8">
        <f t="shared" si="6"/>
        <v>7.25</v>
      </c>
    </row>
    <row r="33" spans="3:22" x14ac:dyDescent="0.2">
      <c r="C33" s="2">
        <v>5</v>
      </c>
      <c r="D33" s="2" t="s">
        <v>16</v>
      </c>
      <c r="E33" s="2">
        <v>3</v>
      </c>
      <c r="F33" s="2">
        <v>77</v>
      </c>
      <c r="G33" s="2">
        <v>82</v>
      </c>
      <c r="H33" s="2">
        <v>75</v>
      </c>
      <c r="I33" s="2">
        <v>77</v>
      </c>
      <c r="K33" s="2" t="s">
        <v>4</v>
      </c>
      <c r="N33" s="2" t="s">
        <v>4</v>
      </c>
      <c r="O33" s="6">
        <f t="shared" si="0"/>
        <v>77.75</v>
      </c>
      <c r="P33" s="7">
        <f t="shared" si="1"/>
        <v>7.75</v>
      </c>
      <c r="Q33" s="2">
        <v>65</v>
      </c>
      <c r="R33" s="2">
        <v>53</v>
      </c>
      <c r="S33" s="2"/>
      <c r="T33" s="2">
        <f t="shared" si="2"/>
        <v>59</v>
      </c>
      <c r="U33" s="3">
        <f t="shared" si="3"/>
        <v>-11</v>
      </c>
      <c r="V33" s="8">
        <f t="shared" si="6"/>
        <v>18.75</v>
      </c>
    </row>
    <row r="34" spans="3:22" x14ac:dyDescent="0.2">
      <c r="C34" s="2">
        <v>5</v>
      </c>
      <c r="D34" s="2" t="s">
        <v>7</v>
      </c>
      <c r="E34" s="2">
        <v>2</v>
      </c>
      <c r="F34" s="2">
        <v>74</v>
      </c>
      <c r="G34" s="2">
        <v>69</v>
      </c>
      <c r="H34" s="2">
        <v>72</v>
      </c>
      <c r="I34" s="2">
        <v>68</v>
      </c>
      <c r="K34" s="2" t="s">
        <v>4</v>
      </c>
      <c r="N34" s="2" t="s">
        <v>4</v>
      </c>
      <c r="O34" s="6">
        <f t="shared" si="0"/>
        <v>70.75</v>
      </c>
      <c r="P34" s="7">
        <f t="shared" si="1"/>
        <v>2.75</v>
      </c>
      <c r="Q34" s="2">
        <v>65</v>
      </c>
      <c r="R34" s="2">
        <v>68</v>
      </c>
      <c r="S34" s="2"/>
      <c r="T34" s="2">
        <f t="shared" si="2"/>
        <v>66.5</v>
      </c>
      <c r="U34" s="3">
        <f t="shared" si="3"/>
        <v>-1.5</v>
      </c>
      <c r="V34" s="8">
        <f t="shared" si="6"/>
        <v>4.25</v>
      </c>
    </row>
    <row r="35" spans="3:22" x14ac:dyDescent="0.2">
      <c r="C35" s="2">
        <v>5</v>
      </c>
      <c r="D35" s="2" t="s">
        <v>28</v>
      </c>
      <c r="E35" s="2">
        <v>2</v>
      </c>
      <c r="F35" s="2">
        <v>67</v>
      </c>
      <c r="G35" s="2">
        <v>80</v>
      </c>
      <c r="H35" s="2">
        <v>62</v>
      </c>
      <c r="I35" s="2">
        <v>67</v>
      </c>
      <c r="K35" s="2" t="s">
        <v>4</v>
      </c>
      <c r="N35" s="2" t="s">
        <v>4</v>
      </c>
      <c r="O35" s="6">
        <f t="shared" ref="O35:O66" si="7">(F35+G35+H35+I35)/4</f>
        <v>69</v>
      </c>
      <c r="P35" s="7">
        <f t="shared" ref="P35:P66" si="8">O35-D35</f>
        <v>0</v>
      </c>
      <c r="Q35" s="2">
        <v>61</v>
      </c>
      <c r="R35" s="2">
        <v>70</v>
      </c>
      <c r="S35" s="2"/>
      <c r="T35" s="2">
        <f t="shared" ref="T35:T66" si="9">(Q35+R35)/2</f>
        <v>65.5</v>
      </c>
      <c r="U35" s="3">
        <f t="shared" ref="U35:U66" si="10">T35-D35</f>
        <v>-3.5</v>
      </c>
      <c r="V35" s="8">
        <f t="shared" si="6"/>
        <v>3.5</v>
      </c>
    </row>
    <row r="36" spans="3:22" x14ac:dyDescent="0.2">
      <c r="C36" s="2">
        <v>5</v>
      </c>
      <c r="D36" s="2" t="s">
        <v>11</v>
      </c>
      <c r="E36" s="2">
        <v>2</v>
      </c>
      <c r="F36" s="2">
        <v>78</v>
      </c>
      <c r="G36" s="2">
        <v>75</v>
      </c>
      <c r="H36" s="2">
        <v>65</v>
      </c>
      <c r="I36" s="2">
        <v>70</v>
      </c>
      <c r="K36" s="2" t="s">
        <v>4</v>
      </c>
      <c r="N36" s="2" t="s">
        <v>4</v>
      </c>
      <c r="O36" s="6">
        <f t="shared" si="7"/>
        <v>72</v>
      </c>
      <c r="P36" s="7">
        <f t="shared" si="8"/>
        <v>12</v>
      </c>
      <c r="Q36" s="2">
        <v>60</v>
      </c>
      <c r="R36" s="2">
        <v>38</v>
      </c>
      <c r="S36" s="2"/>
      <c r="T36" s="2">
        <f t="shared" si="9"/>
        <v>49</v>
      </c>
      <c r="U36" s="3">
        <f t="shared" si="10"/>
        <v>-11</v>
      </c>
      <c r="V36" s="8">
        <f t="shared" si="6"/>
        <v>23</v>
      </c>
    </row>
    <row r="37" spans="3:22" x14ac:dyDescent="0.2">
      <c r="C37" s="2">
        <v>5</v>
      </c>
      <c r="D37" s="2" t="s">
        <v>26</v>
      </c>
      <c r="E37" s="2">
        <v>3</v>
      </c>
      <c r="F37" s="2">
        <v>73</v>
      </c>
      <c r="G37" s="2">
        <v>59</v>
      </c>
      <c r="H37" s="2">
        <v>62</v>
      </c>
      <c r="I37" s="2">
        <v>73</v>
      </c>
      <c r="K37" s="2" t="s">
        <v>4</v>
      </c>
      <c r="N37" s="2" t="s">
        <v>4</v>
      </c>
      <c r="O37" s="6">
        <f t="shared" si="7"/>
        <v>66.75</v>
      </c>
      <c r="P37" s="7">
        <f t="shared" si="8"/>
        <v>-11.25</v>
      </c>
      <c r="Q37" s="2">
        <v>60</v>
      </c>
      <c r="R37" s="2">
        <v>71</v>
      </c>
      <c r="S37" s="2"/>
      <c r="T37" s="2">
        <f t="shared" si="9"/>
        <v>65.5</v>
      </c>
      <c r="U37" s="3">
        <f t="shared" si="10"/>
        <v>-12.5</v>
      </c>
      <c r="V37" s="8">
        <f t="shared" si="6"/>
        <v>1.25</v>
      </c>
    </row>
    <row r="38" spans="3:22" x14ac:dyDescent="0.2">
      <c r="C38" s="2">
        <v>5</v>
      </c>
      <c r="D38" s="2" t="s">
        <v>33</v>
      </c>
      <c r="E38" s="2">
        <v>2</v>
      </c>
      <c r="F38" s="2">
        <v>71</v>
      </c>
      <c r="G38" s="2">
        <v>73</v>
      </c>
      <c r="H38" s="2">
        <v>74</v>
      </c>
      <c r="I38" s="2">
        <v>74</v>
      </c>
      <c r="K38" s="2" t="s">
        <v>4</v>
      </c>
      <c r="N38" s="2" t="s">
        <v>4</v>
      </c>
      <c r="O38" s="6">
        <f t="shared" si="7"/>
        <v>73</v>
      </c>
      <c r="P38" s="7">
        <f t="shared" si="8"/>
        <v>12</v>
      </c>
      <c r="Q38" s="2">
        <v>58</v>
      </c>
      <c r="R38" s="2">
        <v>65</v>
      </c>
      <c r="S38" s="2"/>
      <c r="T38" s="2">
        <f t="shared" si="9"/>
        <v>61.5</v>
      </c>
      <c r="U38" s="3">
        <f t="shared" si="10"/>
        <v>0.5</v>
      </c>
      <c r="V38" s="8">
        <f t="shared" si="6"/>
        <v>11.5</v>
      </c>
    </row>
    <row r="39" spans="3:22" x14ac:dyDescent="0.2">
      <c r="C39" s="2">
        <v>5</v>
      </c>
      <c r="D39" s="2" t="s">
        <v>29</v>
      </c>
      <c r="E39" s="2">
        <v>2</v>
      </c>
      <c r="F39" s="2">
        <v>65</v>
      </c>
      <c r="G39" s="2">
        <v>59</v>
      </c>
      <c r="H39" s="2">
        <v>77</v>
      </c>
      <c r="I39" s="2">
        <v>79</v>
      </c>
      <c r="K39" s="2" t="s">
        <v>4</v>
      </c>
      <c r="N39" s="2" t="s">
        <v>4</v>
      </c>
      <c r="O39" s="6">
        <f t="shared" si="7"/>
        <v>70</v>
      </c>
      <c r="P39" s="7">
        <f t="shared" si="8"/>
        <v>4</v>
      </c>
      <c r="Q39" s="2">
        <v>57</v>
      </c>
      <c r="R39" s="2">
        <v>33</v>
      </c>
      <c r="S39" s="2"/>
      <c r="T39" s="2">
        <f t="shared" si="9"/>
        <v>45</v>
      </c>
      <c r="U39" s="3">
        <f t="shared" si="10"/>
        <v>-21</v>
      </c>
      <c r="V39" s="8">
        <f t="shared" si="6"/>
        <v>25</v>
      </c>
    </row>
    <row r="40" spans="3:22" x14ac:dyDescent="0.2">
      <c r="C40" s="2">
        <v>5</v>
      </c>
      <c r="D40" s="2" t="s">
        <v>5</v>
      </c>
      <c r="E40" s="2">
        <v>2</v>
      </c>
      <c r="F40" s="2">
        <v>73</v>
      </c>
      <c r="G40" s="2">
        <v>71</v>
      </c>
      <c r="H40" s="2">
        <v>68</v>
      </c>
      <c r="I40" s="2">
        <v>70</v>
      </c>
      <c r="K40" s="2" t="s">
        <v>4</v>
      </c>
      <c r="N40" s="2" t="s">
        <v>4</v>
      </c>
      <c r="O40" s="6">
        <f t="shared" si="7"/>
        <v>70.5</v>
      </c>
      <c r="P40" s="7">
        <f t="shared" si="8"/>
        <v>8.5</v>
      </c>
      <c r="Q40" s="2">
        <v>57</v>
      </c>
      <c r="R40" s="2">
        <v>57</v>
      </c>
      <c r="S40" s="2"/>
      <c r="T40" s="2">
        <f t="shared" si="9"/>
        <v>57</v>
      </c>
      <c r="U40" s="3">
        <f t="shared" si="10"/>
        <v>-5</v>
      </c>
      <c r="V40" s="8">
        <f t="shared" si="6"/>
        <v>13.5</v>
      </c>
    </row>
    <row r="41" spans="3:22" x14ac:dyDescent="0.2">
      <c r="C41" s="2">
        <v>5</v>
      </c>
      <c r="D41" s="2" t="s">
        <v>38</v>
      </c>
      <c r="E41" s="2">
        <v>3</v>
      </c>
      <c r="F41" s="2">
        <v>76</v>
      </c>
      <c r="G41" s="2">
        <v>68</v>
      </c>
      <c r="H41" s="2">
        <v>76</v>
      </c>
      <c r="I41" s="2">
        <v>73</v>
      </c>
      <c r="K41" s="2" t="s">
        <v>4</v>
      </c>
      <c r="N41" s="2" t="s">
        <v>4</v>
      </c>
      <c r="O41" s="6">
        <f t="shared" si="7"/>
        <v>73.25</v>
      </c>
      <c r="P41" s="7">
        <f t="shared" si="8"/>
        <v>-5.75</v>
      </c>
      <c r="Q41" s="2">
        <v>57</v>
      </c>
      <c r="R41" s="2">
        <v>75</v>
      </c>
      <c r="S41" s="2"/>
      <c r="T41" s="2">
        <f t="shared" si="9"/>
        <v>66</v>
      </c>
      <c r="U41" s="3">
        <f t="shared" si="10"/>
        <v>-13</v>
      </c>
      <c r="V41" s="8">
        <f t="shared" si="6"/>
        <v>7.25</v>
      </c>
    </row>
    <row r="42" spans="3:22" x14ac:dyDescent="0.2">
      <c r="C42" s="2">
        <v>5</v>
      </c>
      <c r="D42" s="2" t="s">
        <v>5</v>
      </c>
      <c r="E42" s="2">
        <v>2</v>
      </c>
      <c r="F42" s="2">
        <v>66</v>
      </c>
      <c r="G42" s="2">
        <v>73</v>
      </c>
      <c r="H42" s="2">
        <v>75</v>
      </c>
      <c r="I42" s="2">
        <v>75</v>
      </c>
      <c r="K42" s="2" t="s">
        <v>4</v>
      </c>
      <c r="N42" s="2" t="s">
        <v>4</v>
      </c>
      <c r="O42" s="6">
        <f t="shared" si="7"/>
        <v>72.25</v>
      </c>
      <c r="P42" s="7">
        <f t="shared" si="8"/>
        <v>10.25</v>
      </c>
      <c r="Q42" s="2">
        <v>54</v>
      </c>
      <c r="R42" s="2">
        <v>49</v>
      </c>
      <c r="S42" s="2"/>
      <c r="T42" s="2">
        <f t="shared" si="9"/>
        <v>51.5</v>
      </c>
      <c r="U42" s="3">
        <f t="shared" si="10"/>
        <v>-10.5</v>
      </c>
      <c r="V42" s="8">
        <f t="shared" si="6"/>
        <v>20.75</v>
      </c>
    </row>
    <row r="43" spans="3:22" x14ac:dyDescent="0.2">
      <c r="C43" s="2">
        <v>5</v>
      </c>
      <c r="D43" s="2" t="s">
        <v>21</v>
      </c>
      <c r="E43" s="2">
        <v>1</v>
      </c>
      <c r="F43" s="2">
        <v>71</v>
      </c>
      <c r="G43" s="2">
        <v>74</v>
      </c>
      <c r="H43" s="2">
        <v>62</v>
      </c>
      <c r="I43" s="2">
        <v>66</v>
      </c>
      <c r="K43" s="2" t="s">
        <v>4</v>
      </c>
      <c r="N43" s="2" t="s">
        <v>4</v>
      </c>
      <c r="O43" s="6">
        <f t="shared" si="7"/>
        <v>68.25</v>
      </c>
      <c r="P43" s="7">
        <f t="shared" si="8"/>
        <v>24.25</v>
      </c>
      <c r="Q43" s="2">
        <v>54</v>
      </c>
      <c r="R43" s="2">
        <v>60</v>
      </c>
      <c r="S43" s="2"/>
      <c r="T43" s="2">
        <f t="shared" si="9"/>
        <v>57</v>
      </c>
      <c r="U43" s="3">
        <f t="shared" si="10"/>
        <v>13</v>
      </c>
      <c r="V43" s="8">
        <f t="shared" si="6"/>
        <v>11.25</v>
      </c>
    </row>
    <row r="44" spans="3:22" x14ac:dyDescent="0.2">
      <c r="C44" s="2">
        <v>5</v>
      </c>
      <c r="D44" s="2" t="s">
        <v>6</v>
      </c>
      <c r="E44" s="2">
        <v>3</v>
      </c>
      <c r="F44" s="2">
        <v>71</v>
      </c>
      <c r="G44" s="2">
        <v>65</v>
      </c>
      <c r="H44" s="2">
        <v>65</v>
      </c>
      <c r="I44" s="2">
        <v>74</v>
      </c>
      <c r="K44" s="2" t="s">
        <v>4</v>
      </c>
      <c r="N44" s="2" t="s">
        <v>4</v>
      </c>
      <c r="O44" s="6">
        <f t="shared" si="7"/>
        <v>68.75</v>
      </c>
      <c r="P44" s="7">
        <f t="shared" si="8"/>
        <v>-3.25</v>
      </c>
      <c r="Q44" s="2">
        <v>54</v>
      </c>
      <c r="R44" s="2">
        <v>72</v>
      </c>
      <c r="S44" s="2"/>
      <c r="T44" s="2">
        <f t="shared" si="9"/>
        <v>63</v>
      </c>
      <c r="U44" s="3">
        <f t="shared" si="10"/>
        <v>-9</v>
      </c>
      <c r="V44" s="8">
        <f t="shared" si="6"/>
        <v>5.75</v>
      </c>
    </row>
    <row r="45" spans="3:22" x14ac:dyDescent="0.2">
      <c r="C45" s="2">
        <v>5</v>
      </c>
      <c r="D45" s="2" t="s">
        <v>14</v>
      </c>
      <c r="E45" s="2">
        <v>2</v>
      </c>
      <c r="F45" s="2">
        <v>76</v>
      </c>
      <c r="G45" s="2">
        <v>80</v>
      </c>
      <c r="H45" s="2">
        <v>72</v>
      </c>
      <c r="I45" s="2">
        <v>66</v>
      </c>
      <c r="K45" s="2" t="s">
        <v>4</v>
      </c>
      <c r="N45" s="2" t="s">
        <v>4</v>
      </c>
      <c r="O45" s="6">
        <f t="shared" si="7"/>
        <v>73.5</v>
      </c>
      <c r="P45" s="7">
        <f t="shared" si="8"/>
        <v>6.5</v>
      </c>
      <c r="Q45" s="2">
        <v>53</v>
      </c>
      <c r="R45" s="2">
        <v>56</v>
      </c>
      <c r="S45" s="2"/>
      <c r="T45" s="2">
        <f t="shared" si="9"/>
        <v>54.5</v>
      </c>
      <c r="U45" s="3">
        <f t="shared" si="10"/>
        <v>-12.5</v>
      </c>
      <c r="V45" s="8">
        <f t="shared" si="6"/>
        <v>19</v>
      </c>
    </row>
    <row r="46" spans="3:22" x14ac:dyDescent="0.2">
      <c r="C46" s="2">
        <v>5</v>
      </c>
      <c r="D46" s="2" t="s">
        <v>12</v>
      </c>
      <c r="E46" s="2">
        <v>2</v>
      </c>
      <c r="F46" s="2">
        <v>61</v>
      </c>
      <c r="G46" s="2">
        <v>61</v>
      </c>
      <c r="H46" s="2">
        <v>72</v>
      </c>
      <c r="I46" s="2">
        <v>76</v>
      </c>
      <c r="K46" s="2" t="s">
        <v>4</v>
      </c>
      <c r="N46" s="2" t="s">
        <v>4</v>
      </c>
      <c r="O46" s="6">
        <f t="shared" si="7"/>
        <v>67.5</v>
      </c>
      <c r="P46" s="7">
        <f t="shared" si="8"/>
        <v>4.5</v>
      </c>
      <c r="Q46" s="2">
        <v>53</v>
      </c>
      <c r="R46" s="2">
        <v>53</v>
      </c>
      <c r="S46" s="2"/>
      <c r="T46" s="2">
        <f t="shared" si="9"/>
        <v>53</v>
      </c>
      <c r="U46" s="3">
        <f t="shared" si="10"/>
        <v>-10</v>
      </c>
      <c r="V46" s="8">
        <f t="shared" si="6"/>
        <v>14.5</v>
      </c>
    </row>
    <row r="47" spans="3:22" x14ac:dyDescent="0.2">
      <c r="C47" s="2">
        <v>5</v>
      </c>
      <c r="D47" s="2" t="s">
        <v>11</v>
      </c>
      <c r="E47" s="2">
        <v>2</v>
      </c>
      <c r="F47" s="2">
        <v>66</v>
      </c>
      <c r="G47" s="2">
        <v>72</v>
      </c>
      <c r="H47" s="2">
        <v>74</v>
      </c>
      <c r="I47" s="2">
        <v>69</v>
      </c>
      <c r="K47" s="2" t="s">
        <v>4</v>
      </c>
      <c r="N47" s="2" t="s">
        <v>4</v>
      </c>
      <c r="O47" s="6">
        <f t="shared" si="7"/>
        <v>70.25</v>
      </c>
      <c r="P47" s="7">
        <f t="shared" si="8"/>
        <v>10.25</v>
      </c>
      <c r="Q47" s="2">
        <v>52</v>
      </c>
      <c r="R47" s="2">
        <v>48</v>
      </c>
      <c r="S47" s="2"/>
      <c r="T47" s="2">
        <f t="shared" si="9"/>
        <v>50</v>
      </c>
      <c r="U47" s="3">
        <f t="shared" si="10"/>
        <v>-10</v>
      </c>
      <c r="V47" s="8">
        <f t="shared" si="6"/>
        <v>20.25</v>
      </c>
    </row>
    <row r="48" spans="3:22" x14ac:dyDescent="0.2">
      <c r="C48" s="2">
        <v>5</v>
      </c>
      <c r="D48" s="2" t="s">
        <v>22</v>
      </c>
      <c r="E48" s="2">
        <v>1</v>
      </c>
      <c r="F48" s="2">
        <v>70</v>
      </c>
      <c r="G48" s="2">
        <v>66</v>
      </c>
      <c r="H48" s="2">
        <v>66</v>
      </c>
      <c r="I48" s="2">
        <v>70</v>
      </c>
      <c r="K48" s="2" t="s">
        <v>4</v>
      </c>
      <c r="N48" s="2" t="s">
        <v>4</v>
      </c>
      <c r="O48" s="6">
        <f t="shared" si="7"/>
        <v>68</v>
      </c>
      <c r="P48" s="7">
        <f t="shared" si="8"/>
        <v>13</v>
      </c>
      <c r="Q48" s="2">
        <v>49</v>
      </c>
      <c r="R48" s="2">
        <v>50</v>
      </c>
      <c r="S48" s="2"/>
      <c r="T48" s="2">
        <f t="shared" si="9"/>
        <v>49.5</v>
      </c>
      <c r="U48" s="3">
        <f t="shared" si="10"/>
        <v>-5.5</v>
      </c>
      <c r="V48" s="8">
        <f t="shared" si="6"/>
        <v>18.5</v>
      </c>
    </row>
    <row r="49" spans="3:22" x14ac:dyDescent="0.2">
      <c r="C49" s="2">
        <v>5</v>
      </c>
      <c r="D49" s="2" t="s">
        <v>5</v>
      </c>
      <c r="E49" s="2">
        <v>2</v>
      </c>
      <c r="F49" s="2">
        <v>72</v>
      </c>
      <c r="G49" s="2">
        <v>68</v>
      </c>
      <c r="H49" s="2">
        <v>68</v>
      </c>
      <c r="I49" s="2">
        <v>65</v>
      </c>
      <c r="K49" s="2" t="s">
        <v>4</v>
      </c>
      <c r="N49" s="2" t="s">
        <v>4</v>
      </c>
      <c r="O49" s="6">
        <f t="shared" si="7"/>
        <v>68.25</v>
      </c>
      <c r="P49" s="7">
        <f t="shared" si="8"/>
        <v>6.25</v>
      </c>
      <c r="Q49" s="2">
        <v>49</v>
      </c>
      <c r="R49" s="2">
        <v>54</v>
      </c>
      <c r="S49" s="2"/>
      <c r="T49" s="2">
        <f t="shared" si="9"/>
        <v>51.5</v>
      </c>
      <c r="U49" s="3">
        <f t="shared" si="10"/>
        <v>-10.5</v>
      </c>
      <c r="V49" s="8">
        <f t="shared" si="6"/>
        <v>16.75</v>
      </c>
    </row>
    <row r="50" spans="3:22" x14ac:dyDescent="0.2">
      <c r="C50" s="2">
        <v>5</v>
      </c>
      <c r="D50" s="2" t="s">
        <v>27</v>
      </c>
      <c r="E50" s="2">
        <v>1</v>
      </c>
      <c r="F50" s="2">
        <v>77</v>
      </c>
      <c r="G50" s="2">
        <v>65</v>
      </c>
      <c r="H50" s="2">
        <v>74</v>
      </c>
      <c r="I50" s="2">
        <v>65</v>
      </c>
      <c r="K50" s="2" t="s">
        <v>4</v>
      </c>
      <c r="N50" s="2" t="s">
        <v>4</v>
      </c>
      <c r="O50" s="6">
        <f t="shared" si="7"/>
        <v>70.25</v>
      </c>
      <c r="P50" s="7">
        <f t="shared" si="8"/>
        <v>12.25</v>
      </c>
      <c r="Q50" s="2">
        <v>49</v>
      </c>
      <c r="R50" s="2">
        <v>61</v>
      </c>
      <c r="S50" s="2"/>
      <c r="T50" s="2">
        <f t="shared" si="9"/>
        <v>55</v>
      </c>
      <c r="U50" s="3">
        <f t="shared" si="10"/>
        <v>-3</v>
      </c>
      <c r="V50" s="8">
        <f t="shared" si="6"/>
        <v>15.25</v>
      </c>
    </row>
    <row r="51" spans="3:22" x14ac:dyDescent="0.2">
      <c r="C51" s="2">
        <v>5</v>
      </c>
      <c r="D51" s="2" t="s">
        <v>14</v>
      </c>
      <c r="E51" s="2">
        <v>2</v>
      </c>
      <c r="F51" s="2">
        <v>70</v>
      </c>
      <c r="G51" s="2">
        <v>70</v>
      </c>
      <c r="H51" s="2">
        <v>62</v>
      </c>
      <c r="I51" s="2">
        <v>70</v>
      </c>
      <c r="K51" s="2" t="s">
        <v>4</v>
      </c>
      <c r="N51" s="2" t="s">
        <v>4</v>
      </c>
      <c r="O51" s="6">
        <f t="shared" si="7"/>
        <v>68</v>
      </c>
      <c r="P51" s="7">
        <f t="shared" si="8"/>
        <v>1</v>
      </c>
      <c r="Q51" s="2">
        <v>49</v>
      </c>
      <c r="R51" s="2">
        <v>74</v>
      </c>
      <c r="S51" s="2"/>
      <c r="T51" s="2">
        <f t="shared" si="9"/>
        <v>61.5</v>
      </c>
      <c r="U51" s="3">
        <f t="shared" si="10"/>
        <v>-5.5</v>
      </c>
      <c r="V51" s="8">
        <f t="shared" si="6"/>
        <v>6.5</v>
      </c>
    </row>
    <row r="52" spans="3:22" x14ac:dyDescent="0.2">
      <c r="C52" s="2">
        <v>5</v>
      </c>
      <c r="D52" s="2" t="s">
        <v>8</v>
      </c>
      <c r="E52" s="2">
        <v>1</v>
      </c>
      <c r="F52" s="2">
        <v>76</v>
      </c>
      <c r="G52" s="2">
        <v>73</v>
      </c>
      <c r="H52" s="2">
        <v>71</v>
      </c>
      <c r="I52" s="2">
        <v>73</v>
      </c>
      <c r="K52" s="2" t="s">
        <v>4</v>
      </c>
      <c r="N52" s="2" t="s">
        <v>4</v>
      </c>
      <c r="O52" s="6">
        <f t="shared" si="7"/>
        <v>73.25</v>
      </c>
      <c r="P52" s="7">
        <f t="shared" si="8"/>
        <v>14.25</v>
      </c>
      <c r="Q52" s="2">
        <v>48</v>
      </c>
      <c r="R52" s="2">
        <v>57</v>
      </c>
      <c r="S52" s="2"/>
      <c r="T52" s="2">
        <f t="shared" si="9"/>
        <v>52.5</v>
      </c>
      <c r="U52" s="3">
        <f t="shared" si="10"/>
        <v>-6.5</v>
      </c>
      <c r="V52" s="8">
        <f t="shared" si="6"/>
        <v>20.75</v>
      </c>
    </row>
    <row r="53" spans="3:22" x14ac:dyDescent="0.2">
      <c r="C53" s="2">
        <v>5</v>
      </c>
      <c r="D53" s="2" t="s">
        <v>10</v>
      </c>
      <c r="E53" s="2">
        <v>1</v>
      </c>
      <c r="F53" s="2">
        <v>76</v>
      </c>
      <c r="G53" s="2">
        <v>77</v>
      </c>
      <c r="H53" s="2">
        <v>67</v>
      </c>
      <c r="I53" s="2">
        <v>70</v>
      </c>
      <c r="K53" s="2" t="s">
        <v>4</v>
      </c>
      <c r="N53" s="2" t="s">
        <v>4</v>
      </c>
      <c r="O53" s="6">
        <f t="shared" si="7"/>
        <v>72.5</v>
      </c>
      <c r="P53" s="7">
        <f t="shared" si="8"/>
        <v>15.5</v>
      </c>
      <c r="Q53" s="2">
        <v>45</v>
      </c>
      <c r="R53" s="2">
        <v>50</v>
      </c>
      <c r="S53" s="2"/>
      <c r="T53" s="2">
        <f t="shared" si="9"/>
        <v>47.5</v>
      </c>
      <c r="U53" s="3">
        <f t="shared" si="10"/>
        <v>-9.5</v>
      </c>
      <c r="V53" s="8">
        <f t="shared" si="6"/>
        <v>25</v>
      </c>
    </row>
    <row r="54" spans="3:22" x14ac:dyDescent="0.2">
      <c r="C54" s="2">
        <v>5</v>
      </c>
      <c r="D54" s="2" t="s">
        <v>23</v>
      </c>
      <c r="E54" s="2">
        <v>1</v>
      </c>
      <c r="F54" s="2">
        <v>74</v>
      </c>
      <c r="G54" s="2">
        <v>62</v>
      </c>
      <c r="H54" s="2">
        <v>71</v>
      </c>
      <c r="I54" s="2">
        <v>71</v>
      </c>
      <c r="K54" s="2" t="s">
        <v>4</v>
      </c>
      <c r="N54" s="2" t="s">
        <v>4</v>
      </c>
      <c r="O54" s="6">
        <f t="shared" si="7"/>
        <v>69.5</v>
      </c>
      <c r="P54" s="7">
        <f t="shared" si="8"/>
        <v>18.5</v>
      </c>
      <c r="Q54" s="2">
        <v>44</v>
      </c>
      <c r="R54" s="2">
        <v>47</v>
      </c>
      <c r="S54" s="2"/>
      <c r="T54" s="2">
        <f t="shared" si="9"/>
        <v>45.5</v>
      </c>
      <c r="U54" s="3">
        <f t="shared" si="10"/>
        <v>-5.5</v>
      </c>
      <c r="V54" s="8">
        <f t="shared" si="6"/>
        <v>24</v>
      </c>
    </row>
    <row r="55" spans="3:22" x14ac:dyDescent="0.2">
      <c r="C55" s="2">
        <v>5</v>
      </c>
      <c r="D55" s="2" t="s">
        <v>35</v>
      </c>
      <c r="E55" s="2">
        <v>1</v>
      </c>
      <c r="F55" s="2">
        <v>72</v>
      </c>
      <c r="G55" s="2">
        <v>68</v>
      </c>
      <c r="H55" s="2">
        <v>67</v>
      </c>
      <c r="I55" s="2">
        <v>64</v>
      </c>
      <c r="K55" s="2" t="s">
        <v>4</v>
      </c>
      <c r="N55" s="2" t="s">
        <v>4</v>
      </c>
      <c r="O55" s="6">
        <f t="shared" si="7"/>
        <v>67.75</v>
      </c>
      <c r="P55" s="7">
        <f t="shared" si="8"/>
        <v>17.75</v>
      </c>
      <c r="Q55" s="2">
        <v>38</v>
      </c>
      <c r="R55" s="2">
        <v>46</v>
      </c>
      <c r="S55" s="2"/>
      <c r="T55" s="2">
        <f t="shared" si="9"/>
        <v>42</v>
      </c>
      <c r="U55" s="3">
        <f t="shared" si="10"/>
        <v>-8</v>
      </c>
      <c r="V55" s="8">
        <f t="shared" si="6"/>
        <v>25.75</v>
      </c>
    </row>
    <row r="56" spans="3:22" x14ac:dyDescent="0.2">
      <c r="C56" s="2">
        <v>6</v>
      </c>
      <c r="D56" s="2" t="s">
        <v>31</v>
      </c>
      <c r="E56" s="2">
        <v>4</v>
      </c>
      <c r="F56" s="2">
        <v>100</v>
      </c>
      <c r="G56" s="2">
        <v>97</v>
      </c>
      <c r="H56" s="2">
        <v>96</v>
      </c>
      <c r="I56" s="2">
        <v>98</v>
      </c>
      <c r="K56" s="2" t="s">
        <v>4</v>
      </c>
      <c r="N56" s="2" t="s">
        <v>4</v>
      </c>
      <c r="O56" s="6">
        <f t="shared" si="7"/>
        <v>97.75</v>
      </c>
      <c r="P56" s="7">
        <f t="shared" si="8"/>
        <v>11.75</v>
      </c>
      <c r="Q56" s="2">
        <v>84</v>
      </c>
      <c r="R56" s="2">
        <v>94</v>
      </c>
      <c r="S56" s="2"/>
      <c r="T56" s="2">
        <f t="shared" si="9"/>
        <v>89</v>
      </c>
      <c r="U56" s="3">
        <f t="shared" si="10"/>
        <v>3</v>
      </c>
      <c r="V56" s="8">
        <f t="shared" si="6"/>
        <v>8.75</v>
      </c>
    </row>
    <row r="57" spans="3:22" x14ac:dyDescent="0.2">
      <c r="C57" s="2">
        <v>6</v>
      </c>
      <c r="D57" s="2" t="s">
        <v>17</v>
      </c>
      <c r="E57" s="2">
        <v>4</v>
      </c>
      <c r="F57" s="2">
        <v>100</v>
      </c>
      <c r="G57" s="2">
        <v>97</v>
      </c>
      <c r="H57" s="2">
        <v>91</v>
      </c>
      <c r="I57" s="2">
        <v>96</v>
      </c>
      <c r="K57" s="2" t="s">
        <v>4</v>
      </c>
      <c r="N57" s="2" t="s">
        <v>4</v>
      </c>
      <c r="O57" s="6">
        <f t="shared" si="7"/>
        <v>96</v>
      </c>
      <c r="P57" s="7">
        <f t="shared" si="8"/>
        <v>12</v>
      </c>
      <c r="Q57" s="2">
        <v>78</v>
      </c>
      <c r="R57" s="2">
        <v>91</v>
      </c>
      <c r="S57" s="2"/>
      <c r="T57" s="2">
        <f t="shared" si="9"/>
        <v>84.5</v>
      </c>
      <c r="U57" s="3">
        <f t="shared" si="10"/>
        <v>0.5</v>
      </c>
      <c r="V57" s="8">
        <f t="shared" si="6"/>
        <v>11.5</v>
      </c>
    </row>
    <row r="58" spans="3:22" x14ac:dyDescent="0.2">
      <c r="C58" s="2">
        <v>6</v>
      </c>
      <c r="D58" s="2" t="s">
        <v>31</v>
      </c>
      <c r="E58" s="2">
        <v>4</v>
      </c>
      <c r="F58" s="2">
        <v>97</v>
      </c>
      <c r="G58" s="2">
        <v>83</v>
      </c>
      <c r="H58" s="2">
        <v>92</v>
      </c>
      <c r="I58" s="2">
        <v>86</v>
      </c>
      <c r="K58" s="2" t="s">
        <v>4</v>
      </c>
      <c r="N58" s="2" t="s">
        <v>4</v>
      </c>
      <c r="O58" s="6">
        <f t="shared" si="7"/>
        <v>89.5</v>
      </c>
      <c r="P58" s="7">
        <f t="shared" si="8"/>
        <v>3.5</v>
      </c>
      <c r="Q58" s="2">
        <v>75</v>
      </c>
      <c r="R58" s="2">
        <v>76</v>
      </c>
      <c r="S58" s="2"/>
      <c r="T58" s="2">
        <f t="shared" si="9"/>
        <v>75.5</v>
      </c>
      <c r="U58" s="3">
        <f t="shared" si="10"/>
        <v>-10.5</v>
      </c>
      <c r="V58" s="8">
        <f t="shared" si="6"/>
        <v>14</v>
      </c>
    </row>
    <row r="59" spans="3:22" x14ac:dyDescent="0.2">
      <c r="C59" s="2">
        <v>6</v>
      </c>
      <c r="D59" s="2" t="s">
        <v>26</v>
      </c>
      <c r="E59" s="2">
        <v>3</v>
      </c>
      <c r="F59" s="2">
        <v>85</v>
      </c>
      <c r="G59" s="2">
        <v>88</v>
      </c>
      <c r="H59" s="2">
        <v>82</v>
      </c>
      <c r="I59" s="2">
        <v>87</v>
      </c>
      <c r="K59" s="2" t="s">
        <v>4</v>
      </c>
      <c r="N59" s="2" t="s">
        <v>4</v>
      </c>
      <c r="O59" s="6">
        <f t="shared" si="7"/>
        <v>85.5</v>
      </c>
      <c r="P59" s="7">
        <f t="shared" si="8"/>
        <v>7.5</v>
      </c>
      <c r="Q59" s="2">
        <v>74</v>
      </c>
      <c r="R59" s="2">
        <v>81</v>
      </c>
      <c r="S59" s="2"/>
      <c r="T59" s="2">
        <f t="shared" si="9"/>
        <v>77.5</v>
      </c>
      <c r="U59" s="3">
        <f t="shared" si="10"/>
        <v>-0.5</v>
      </c>
      <c r="V59" s="8">
        <f t="shared" si="6"/>
        <v>8</v>
      </c>
    </row>
    <row r="60" spans="3:22" x14ac:dyDescent="0.2">
      <c r="C60" s="2">
        <v>6</v>
      </c>
      <c r="D60" s="2">
        <v>78</v>
      </c>
      <c r="E60" s="2">
        <v>3</v>
      </c>
      <c r="F60" s="2">
        <v>74</v>
      </c>
      <c r="G60" s="2">
        <v>81</v>
      </c>
      <c r="H60" s="2">
        <v>87</v>
      </c>
      <c r="I60" s="2">
        <v>82</v>
      </c>
      <c r="O60" s="6">
        <f t="shared" si="7"/>
        <v>81</v>
      </c>
      <c r="P60" s="7">
        <f t="shared" si="8"/>
        <v>3</v>
      </c>
      <c r="Q60" s="2">
        <v>72</v>
      </c>
      <c r="R60" s="2">
        <v>78</v>
      </c>
      <c r="S60" s="2"/>
      <c r="T60" s="2">
        <f t="shared" si="9"/>
        <v>75</v>
      </c>
      <c r="U60" s="3">
        <f t="shared" si="10"/>
        <v>-3</v>
      </c>
      <c r="V60" s="8">
        <f t="shared" si="6"/>
        <v>6</v>
      </c>
    </row>
    <row r="61" spans="3:22" x14ac:dyDescent="0.2">
      <c r="C61" s="2">
        <v>6</v>
      </c>
      <c r="D61" s="2" t="s">
        <v>8</v>
      </c>
      <c r="E61" s="2">
        <v>1</v>
      </c>
      <c r="F61" s="2">
        <v>83</v>
      </c>
      <c r="G61" s="2">
        <v>83</v>
      </c>
      <c r="H61" s="2">
        <v>79</v>
      </c>
      <c r="I61" s="2">
        <v>75</v>
      </c>
      <c r="K61" s="2" t="s">
        <v>4</v>
      </c>
      <c r="N61" s="2" t="s">
        <v>4</v>
      </c>
      <c r="O61" s="6">
        <f t="shared" si="7"/>
        <v>80</v>
      </c>
      <c r="P61" s="7">
        <f t="shared" si="8"/>
        <v>21</v>
      </c>
      <c r="Q61" s="2">
        <v>70</v>
      </c>
      <c r="R61" s="2">
        <v>52</v>
      </c>
      <c r="S61" s="2"/>
      <c r="T61" s="2">
        <f t="shared" si="9"/>
        <v>61</v>
      </c>
      <c r="U61" s="3">
        <f t="shared" si="10"/>
        <v>2</v>
      </c>
      <c r="V61" s="8">
        <f t="shared" si="6"/>
        <v>19</v>
      </c>
    </row>
    <row r="62" spans="3:22" x14ac:dyDescent="0.2">
      <c r="C62" s="2">
        <v>6</v>
      </c>
      <c r="D62" s="2" t="s">
        <v>32</v>
      </c>
      <c r="E62" s="2">
        <v>3</v>
      </c>
      <c r="F62" s="2">
        <v>82</v>
      </c>
      <c r="G62" s="2">
        <v>70</v>
      </c>
      <c r="H62" s="2">
        <v>78</v>
      </c>
      <c r="I62" s="2">
        <v>76</v>
      </c>
      <c r="K62" s="2" t="s">
        <v>4</v>
      </c>
      <c r="N62" s="2" t="s">
        <v>4</v>
      </c>
      <c r="O62" s="6">
        <f t="shared" si="7"/>
        <v>76.5</v>
      </c>
      <c r="P62" s="7">
        <f t="shared" si="8"/>
        <v>5.5</v>
      </c>
      <c r="Q62" s="2">
        <v>68</v>
      </c>
      <c r="R62" s="2">
        <v>54</v>
      </c>
      <c r="S62" s="2"/>
      <c r="T62" s="2">
        <f t="shared" si="9"/>
        <v>61</v>
      </c>
      <c r="U62" s="3">
        <f t="shared" si="10"/>
        <v>-10</v>
      </c>
      <c r="V62" s="8">
        <f t="shared" ref="V62:V93" si="11">O62-T62</f>
        <v>15.5</v>
      </c>
    </row>
    <row r="63" spans="3:22" x14ac:dyDescent="0.2">
      <c r="C63" s="2">
        <v>6</v>
      </c>
      <c r="D63" s="2" t="s">
        <v>9</v>
      </c>
      <c r="E63" s="2">
        <v>3</v>
      </c>
      <c r="F63" s="2">
        <v>97</v>
      </c>
      <c r="G63" s="2">
        <v>87</v>
      </c>
      <c r="H63" s="2">
        <v>90</v>
      </c>
      <c r="I63" s="2">
        <v>90</v>
      </c>
      <c r="K63" s="2" t="s">
        <v>4</v>
      </c>
      <c r="N63" s="2" t="s">
        <v>4</v>
      </c>
      <c r="O63" s="6">
        <f t="shared" si="7"/>
        <v>91</v>
      </c>
      <c r="P63" s="7">
        <f t="shared" si="8"/>
        <v>18</v>
      </c>
      <c r="Q63" s="2">
        <v>63</v>
      </c>
      <c r="R63" s="2">
        <v>71</v>
      </c>
      <c r="S63" s="2"/>
      <c r="T63" s="2">
        <f t="shared" si="9"/>
        <v>67</v>
      </c>
      <c r="U63" s="3">
        <f t="shared" si="10"/>
        <v>-6</v>
      </c>
      <c r="V63" s="8">
        <f t="shared" si="11"/>
        <v>24</v>
      </c>
    </row>
    <row r="64" spans="3:22" x14ac:dyDescent="0.2">
      <c r="C64" s="2">
        <v>6</v>
      </c>
      <c r="D64" s="2" t="s">
        <v>23</v>
      </c>
      <c r="E64" s="2">
        <v>1</v>
      </c>
      <c r="F64" s="2">
        <v>75</v>
      </c>
      <c r="G64" s="2">
        <v>62</v>
      </c>
      <c r="H64" s="2">
        <v>74</v>
      </c>
      <c r="I64" s="2">
        <v>73</v>
      </c>
      <c r="K64" s="2" t="s">
        <v>4</v>
      </c>
      <c r="N64" s="2" t="s">
        <v>4</v>
      </c>
      <c r="O64" s="6">
        <f t="shared" si="7"/>
        <v>71</v>
      </c>
      <c r="P64" s="7">
        <f t="shared" si="8"/>
        <v>20</v>
      </c>
      <c r="Q64" s="2">
        <v>61</v>
      </c>
      <c r="R64" s="2">
        <v>61</v>
      </c>
      <c r="S64" s="2"/>
      <c r="T64" s="2">
        <f t="shared" si="9"/>
        <v>61</v>
      </c>
      <c r="U64" s="3">
        <f t="shared" si="10"/>
        <v>10</v>
      </c>
      <c r="V64" s="8">
        <f t="shared" si="11"/>
        <v>10</v>
      </c>
    </row>
    <row r="65" spans="3:22" x14ac:dyDescent="0.2">
      <c r="C65" s="2">
        <v>6</v>
      </c>
      <c r="D65" s="2" t="s">
        <v>18</v>
      </c>
      <c r="E65" s="2">
        <v>4</v>
      </c>
      <c r="F65" s="2">
        <v>91</v>
      </c>
      <c r="G65" s="2">
        <v>54</v>
      </c>
      <c r="H65" s="2">
        <v>76</v>
      </c>
      <c r="I65" s="2">
        <v>90</v>
      </c>
      <c r="K65" s="2" t="s">
        <v>4</v>
      </c>
      <c r="N65" s="2" t="s">
        <v>4</v>
      </c>
      <c r="O65" s="6">
        <f t="shared" si="7"/>
        <v>77.75</v>
      </c>
      <c r="P65" s="7">
        <f t="shared" si="8"/>
        <v>-4.25</v>
      </c>
      <c r="Q65" s="2">
        <v>61</v>
      </c>
      <c r="R65" s="2">
        <v>76</v>
      </c>
      <c r="S65" s="2"/>
      <c r="T65" s="2">
        <f t="shared" si="9"/>
        <v>68.5</v>
      </c>
      <c r="U65" s="3">
        <f t="shared" si="10"/>
        <v>-13.5</v>
      </c>
      <c r="V65" s="8">
        <f t="shared" si="11"/>
        <v>9.25</v>
      </c>
    </row>
    <row r="66" spans="3:22" x14ac:dyDescent="0.2">
      <c r="C66" s="2">
        <v>6</v>
      </c>
      <c r="D66" s="2" t="s">
        <v>15</v>
      </c>
      <c r="E66" s="2">
        <v>1</v>
      </c>
      <c r="F66" s="2">
        <v>78</v>
      </c>
      <c r="G66" s="2">
        <v>82</v>
      </c>
      <c r="H66" s="2">
        <v>64</v>
      </c>
      <c r="I66" s="2">
        <v>68</v>
      </c>
      <c r="K66" s="2" t="s">
        <v>4</v>
      </c>
      <c r="N66" s="2" t="s">
        <v>4</v>
      </c>
      <c r="O66" s="6">
        <f t="shared" si="7"/>
        <v>73</v>
      </c>
      <c r="P66" s="7">
        <f t="shared" si="8"/>
        <v>17</v>
      </c>
      <c r="Q66" s="2">
        <v>54</v>
      </c>
      <c r="R66" s="2">
        <v>53</v>
      </c>
      <c r="S66" s="2"/>
      <c r="T66" s="2">
        <f t="shared" si="9"/>
        <v>53.5</v>
      </c>
      <c r="U66" s="3">
        <f t="shared" si="10"/>
        <v>-2.5</v>
      </c>
      <c r="V66" s="8">
        <f t="shared" si="11"/>
        <v>19.5</v>
      </c>
    </row>
    <row r="67" spans="3:22" x14ac:dyDescent="0.2">
      <c r="C67" s="2">
        <v>6</v>
      </c>
      <c r="D67" s="2" t="s">
        <v>12</v>
      </c>
      <c r="E67" s="2">
        <v>2</v>
      </c>
      <c r="F67" s="2">
        <v>81</v>
      </c>
      <c r="G67" s="2">
        <v>84</v>
      </c>
      <c r="H67" s="2">
        <v>71</v>
      </c>
      <c r="I67" s="2">
        <v>72</v>
      </c>
      <c r="K67" s="2" t="s">
        <v>4</v>
      </c>
      <c r="N67" s="2" t="s">
        <v>4</v>
      </c>
      <c r="O67" s="6">
        <f t="shared" ref="O67:O98" si="12">(F67+G67+H67+I67)/4</f>
        <v>77</v>
      </c>
      <c r="P67" s="7">
        <f t="shared" ref="P67:P98" si="13">O67-D67</f>
        <v>14</v>
      </c>
      <c r="Q67" s="2">
        <v>53</v>
      </c>
      <c r="R67" s="2">
        <v>56</v>
      </c>
      <c r="S67" s="2"/>
      <c r="T67" s="2">
        <f t="shared" ref="T67:T98" si="14">(Q67+R67)/2</f>
        <v>54.5</v>
      </c>
      <c r="U67" s="3">
        <f t="shared" ref="U67:U98" si="15">T67-D67</f>
        <v>-8.5</v>
      </c>
      <c r="V67" s="8">
        <f t="shared" si="11"/>
        <v>22.5</v>
      </c>
    </row>
    <row r="68" spans="3:22" x14ac:dyDescent="0.2">
      <c r="C68" s="2">
        <v>6</v>
      </c>
      <c r="D68" s="2" t="s">
        <v>30</v>
      </c>
      <c r="E68" s="2">
        <v>3</v>
      </c>
      <c r="F68" s="2">
        <v>84</v>
      </c>
      <c r="G68" s="2">
        <v>81</v>
      </c>
      <c r="H68" s="2">
        <v>83</v>
      </c>
      <c r="I68" s="2">
        <v>85</v>
      </c>
      <c r="K68" s="2" t="s">
        <v>4</v>
      </c>
      <c r="N68" s="2" t="s">
        <v>4</v>
      </c>
      <c r="O68" s="6">
        <f t="shared" si="12"/>
        <v>83.25</v>
      </c>
      <c r="P68" s="7">
        <f t="shared" si="13"/>
        <v>6.25</v>
      </c>
      <c r="Q68" s="2">
        <v>53</v>
      </c>
      <c r="R68" s="2">
        <v>79</v>
      </c>
      <c r="S68" s="2"/>
      <c r="T68" s="2">
        <f t="shared" si="14"/>
        <v>66</v>
      </c>
      <c r="U68" s="3">
        <f t="shared" si="15"/>
        <v>-11</v>
      </c>
      <c r="V68" s="8">
        <f t="shared" si="11"/>
        <v>17.25</v>
      </c>
    </row>
    <row r="69" spans="3:22" x14ac:dyDescent="0.2">
      <c r="C69" s="2">
        <v>6</v>
      </c>
      <c r="D69" s="2" t="s">
        <v>36</v>
      </c>
      <c r="E69" s="2">
        <v>3</v>
      </c>
      <c r="F69" s="2">
        <v>77</v>
      </c>
      <c r="G69" s="2">
        <v>72</v>
      </c>
      <c r="H69" s="2">
        <v>68</v>
      </c>
      <c r="I69" s="2">
        <v>57</v>
      </c>
      <c r="K69" s="2" t="s">
        <v>4</v>
      </c>
      <c r="N69" s="2" t="s">
        <v>4</v>
      </c>
      <c r="O69" s="6">
        <f t="shared" si="12"/>
        <v>68.5</v>
      </c>
      <c r="P69" s="7">
        <f t="shared" si="13"/>
        <v>-5.5</v>
      </c>
      <c r="Q69" s="2">
        <v>52</v>
      </c>
      <c r="R69" s="2">
        <v>54</v>
      </c>
      <c r="S69" s="2"/>
      <c r="T69" s="2">
        <f t="shared" si="14"/>
        <v>53</v>
      </c>
      <c r="U69" s="3">
        <f t="shared" si="15"/>
        <v>-21</v>
      </c>
      <c r="V69" s="8">
        <f t="shared" si="11"/>
        <v>15.5</v>
      </c>
    </row>
    <row r="70" spans="3:22" x14ac:dyDescent="0.2">
      <c r="C70" s="2">
        <v>6</v>
      </c>
      <c r="D70" s="2" t="s">
        <v>40</v>
      </c>
      <c r="E70" s="2">
        <v>1</v>
      </c>
      <c r="F70" s="2">
        <v>65</v>
      </c>
      <c r="G70" s="2">
        <v>61</v>
      </c>
      <c r="H70" s="2">
        <v>81</v>
      </c>
      <c r="I70" s="2">
        <v>65</v>
      </c>
      <c r="K70" s="2" t="s">
        <v>4</v>
      </c>
      <c r="N70" s="2" t="s">
        <v>4</v>
      </c>
      <c r="O70" s="6">
        <f t="shared" si="12"/>
        <v>68</v>
      </c>
      <c r="P70" s="7">
        <f t="shared" si="13"/>
        <v>14</v>
      </c>
      <c r="Q70" s="2">
        <v>46</v>
      </c>
      <c r="R70" s="2">
        <v>56</v>
      </c>
      <c r="S70" s="2"/>
      <c r="T70" s="2">
        <f t="shared" si="14"/>
        <v>51</v>
      </c>
      <c r="U70" s="3">
        <f t="shared" si="15"/>
        <v>-3</v>
      </c>
      <c r="V70" s="8">
        <f t="shared" si="11"/>
        <v>17</v>
      </c>
    </row>
    <row r="71" spans="3:22" x14ac:dyDescent="0.2">
      <c r="C71" s="2">
        <v>7</v>
      </c>
      <c r="D71" s="2" t="s">
        <v>29</v>
      </c>
      <c r="E71" s="2">
        <v>2</v>
      </c>
      <c r="F71" s="2">
        <v>71</v>
      </c>
      <c r="G71" s="2">
        <v>80</v>
      </c>
      <c r="H71" s="2">
        <v>82</v>
      </c>
      <c r="I71" s="2">
        <v>80</v>
      </c>
      <c r="K71" s="2" t="s">
        <v>4</v>
      </c>
      <c r="N71" s="2" t="s">
        <v>4</v>
      </c>
      <c r="O71" s="6">
        <f t="shared" si="12"/>
        <v>78.25</v>
      </c>
      <c r="P71" s="7">
        <f t="shared" si="13"/>
        <v>12.25</v>
      </c>
      <c r="Q71" s="2">
        <v>70</v>
      </c>
      <c r="R71" s="2">
        <v>71</v>
      </c>
      <c r="S71" s="2"/>
      <c r="T71" s="2">
        <f t="shared" si="14"/>
        <v>70.5</v>
      </c>
      <c r="U71" s="3">
        <f t="shared" si="15"/>
        <v>4.5</v>
      </c>
      <c r="V71" s="8">
        <f t="shared" si="11"/>
        <v>7.75</v>
      </c>
    </row>
    <row r="72" spans="3:22" x14ac:dyDescent="0.2">
      <c r="C72" s="2">
        <v>7</v>
      </c>
      <c r="D72" s="2" t="s">
        <v>39</v>
      </c>
      <c r="E72" s="2">
        <v>4</v>
      </c>
      <c r="F72" s="2">
        <v>73</v>
      </c>
      <c r="G72" s="2">
        <v>76</v>
      </c>
      <c r="H72" s="2">
        <v>88</v>
      </c>
      <c r="I72" s="2">
        <v>86</v>
      </c>
      <c r="K72" s="2" t="s">
        <v>4</v>
      </c>
      <c r="N72" s="2" t="s">
        <v>4</v>
      </c>
      <c r="O72" s="6">
        <f t="shared" si="12"/>
        <v>80.75</v>
      </c>
      <c r="P72" s="7">
        <f t="shared" si="13"/>
        <v>0.75</v>
      </c>
      <c r="Q72" s="2">
        <v>68</v>
      </c>
      <c r="R72" s="2">
        <v>77</v>
      </c>
      <c r="S72" s="2"/>
      <c r="T72" s="2">
        <f t="shared" si="14"/>
        <v>72.5</v>
      </c>
      <c r="U72" s="3">
        <f t="shared" si="15"/>
        <v>-7.5</v>
      </c>
      <c r="V72" s="8">
        <f t="shared" si="11"/>
        <v>8.25</v>
      </c>
    </row>
    <row r="73" spans="3:22" x14ac:dyDescent="0.2">
      <c r="C73" s="2">
        <v>7</v>
      </c>
      <c r="D73" s="2" t="s">
        <v>37</v>
      </c>
      <c r="E73" s="2">
        <v>3</v>
      </c>
      <c r="F73" s="2">
        <v>93</v>
      </c>
      <c r="G73" s="2">
        <v>80</v>
      </c>
      <c r="H73" s="2">
        <v>90</v>
      </c>
      <c r="I73" s="2">
        <v>87</v>
      </c>
      <c r="K73" s="2" t="s">
        <v>4</v>
      </c>
      <c r="N73" s="2" t="s">
        <v>4</v>
      </c>
      <c r="O73" s="6">
        <f t="shared" si="12"/>
        <v>87.5</v>
      </c>
      <c r="P73" s="7">
        <f t="shared" si="13"/>
        <v>11.5</v>
      </c>
      <c r="Q73" s="2">
        <v>67</v>
      </c>
      <c r="R73" s="2">
        <v>75</v>
      </c>
      <c r="S73" s="2"/>
      <c r="T73" s="2">
        <f t="shared" si="14"/>
        <v>71</v>
      </c>
      <c r="U73" s="3">
        <f t="shared" si="15"/>
        <v>-5</v>
      </c>
      <c r="V73" s="8">
        <f t="shared" si="11"/>
        <v>16.5</v>
      </c>
    </row>
    <row r="74" spans="3:22" x14ac:dyDescent="0.2">
      <c r="C74" s="2">
        <v>7</v>
      </c>
      <c r="D74" s="2" t="s">
        <v>39</v>
      </c>
      <c r="E74" s="2">
        <v>4</v>
      </c>
      <c r="F74" s="2">
        <v>94</v>
      </c>
      <c r="G74" s="2">
        <v>86</v>
      </c>
      <c r="H74" s="2">
        <v>90</v>
      </c>
      <c r="I74" s="2">
        <v>90</v>
      </c>
      <c r="K74" s="2" t="s">
        <v>4</v>
      </c>
      <c r="N74" s="2" t="s">
        <v>4</v>
      </c>
      <c r="O74" s="6">
        <f t="shared" si="12"/>
        <v>90</v>
      </c>
      <c r="P74" s="7">
        <f t="shared" si="13"/>
        <v>10</v>
      </c>
      <c r="Q74" s="2">
        <v>65</v>
      </c>
      <c r="R74" s="2">
        <v>78</v>
      </c>
      <c r="S74" s="2"/>
      <c r="T74" s="2">
        <f t="shared" si="14"/>
        <v>71.5</v>
      </c>
      <c r="U74" s="3">
        <f t="shared" si="15"/>
        <v>-8.5</v>
      </c>
      <c r="V74" s="8">
        <f t="shared" si="11"/>
        <v>18.5</v>
      </c>
    </row>
    <row r="75" spans="3:22" x14ac:dyDescent="0.2">
      <c r="C75" s="2">
        <v>7</v>
      </c>
      <c r="D75" s="2" t="s">
        <v>36</v>
      </c>
      <c r="E75" s="2">
        <v>3</v>
      </c>
      <c r="F75" s="2">
        <v>86</v>
      </c>
      <c r="G75" s="2">
        <v>77</v>
      </c>
      <c r="H75" s="2">
        <v>81</v>
      </c>
      <c r="I75" s="2">
        <v>80</v>
      </c>
      <c r="K75" s="2" t="s">
        <v>4</v>
      </c>
      <c r="N75" s="2" t="s">
        <v>4</v>
      </c>
      <c r="O75" s="6">
        <f t="shared" si="12"/>
        <v>81</v>
      </c>
      <c r="P75" s="7">
        <f t="shared" si="13"/>
        <v>7</v>
      </c>
      <c r="Q75" s="2">
        <v>65</v>
      </c>
      <c r="R75" s="2">
        <v>77</v>
      </c>
      <c r="S75" s="2"/>
      <c r="T75" s="2">
        <f t="shared" si="14"/>
        <v>71</v>
      </c>
      <c r="U75" s="3">
        <f t="shared" si="15"/>
        <v>-3</v>
      </c>
      <c r="V75" s="8">
        <f t="shared" si="11"/>
        <v>10</v>
      </c>
    </row>
    <row r="76" spans="3:22" x14ac:dyDescent="0.2">
      <c r="C76" s="2">
        <v>7</v>
      </c>
      <c r="D76" s="2" t="s">
        <v>19</v>
      </c>
      <c r="E76" s="2">
        <v>2</v>
      </c>
      <c r="F76" s="2">
        <v>80</v>
      </c>
      <c r="G76" s="2">
        <v>81</v>
      </c>
      <c r="H76" s="2">
        <v>84</v>
      </c>
      <c r="I76" s="2">
        <v>85</v>
      </c>
      <c r="K76" s="2" t="s">
        <v>4</v>
      </c>
      <c r="N76" s="2" t="s">
        <v>4</v>
      </c>
      <c r="O76" s="6">
        <f t="shared" si="12"/>
        <v>82.5</v>
      </c>
      <c r="P76" s="7">
        <f t="shared" si="13"/>
        <v>18.5</v>
      </c>
      <c r="Q76" s="2">
        <v>64</v>
      </c>
      <c r="R76" s="2">
        <v>68</v>
      </c>
      <c r="S76" s="2"/>
      <c r="T76" s="2">
        <f t="shared" si="14"/>
        <v>66</v>
      </c>
      <c r="U76" s="3">
        <f t="shared" si="15"/>
        <v>2</v>
      </c>
      <c r="V76" s="8">
        <f t="shared" si="11"/>
        <v>16.5</v>
      </c>
    </row>
    <row r="77" spans="3:22" x14ac:dyDescent="0.2">
      <c r="C77" s="2">
        <v>7</v>
      </c>
      <c r="D77" s="2" t="s">
        <v>9</v>
      </c>
      <c r="E77" s="2">
        <v>3</v>
      </c>
      <c r="F77" s="2">
        <v>77</v>
      </c>
      <c r="G77" s="2">
        <v>70</v>
      </c>
      <c r="H77" s="2">
        <v>81</v>
      </c>
      <c r="I77" s="2">
        <v>74</v>
      </c>
      <c r="K77" s="2" t="s">
        <v>4</v>
      </c>
      <c r="N77" s="2" t="s">
        <v>4</v>
      </c>
      <c r="O77" s="6">
        <f t="shared" si="12"/>
        <v>75.5</v>
      </c>
      <c r="P77" s="7">
        <f t="shared" si="13"/>
        <v>2.5</v>
      </c>
      <c r="Q77" s="2">
        <v>63</v>
      </c>
      <c r="R77" s="2">
        <v>74</v>
      </c>
      <c r="S77" s="2"/>
      <c r="T77" s="2">
        <f t="shared" si="14"/>
        <v>68.5</v>
      </c>
      <c r="U77" s="3">
        <f t="shared" si="15"/>
        <v>-4.5</v>
      </c>
      <c r="V77" s="8">
        <f t="shared" si="11"/>
        <v>7</v>
      </c>
    </row>
    <row r="78" spans="3:22" x14ac:dyDescent="0.2">
      <c r="C78" s="2">
        <v>7</v>
      </c>
      <c r="D78" s="2" t="s">
        <v>29</v>
      </c>
      <c r="E78" s="2">
        <v>2</v>
      </c>
      <c r="F78" s="2">
        <v>87</v>
      </c>
      <c r="G78" s="2">
        <v>81</v>
      </c>
      <c r="H78" s="2">
        <v>86</v>
      </c>
      <c r="I78" s="2">
        <v>83</v>
      </c>
      <c r="K78" s="2" t="s">
        <v>4</v>
      </c>
      <c r="N78" s="2" t="s">
        <v>4</v>
      </c>
      <c r="O78" s="6">
        <f t="shared" si="12"/>
        <v>84.25</v>
      </c>
      <c r="P78" s="7">
        <f t="shared" si="13"/>
        <v>18.25</v>
      </c>
      <c r="Q78" s="2">
        <v>58</v>
      </c>
      <c r="R78" s="2">
        <v>78</v>
      </c>
      <c r="S78" s="2"/>
      <c r="T78" s="2">
        <f t="shared" si="14"/>
        <v>68</v>
      </c>
      <c r="U78" s="3">
        <f t="shared" si="15"/>
        <v>2</v>
      </c>
      <c r="V78" s="8">
        <f t="shared" si="11"/>
        <v>16.25</v>
      </c>
    </row>
    <row r="79" spans="3:22" x14ac:dyDescent="0.2">
      <c r="C79" s="2">
        <v>7</v>
      </c>
      <c r="D79" s="2" t="s">
        <v>8</v>
      </c>
      <c r="E79" s="2">
        <v>1</v>
      </c>
      <c r="F79" s="2">
        <v>75</v>
      </c>
      <c r="G79" s="2">
        <v>67</v>
      </c>
      <c r="H79" s="2">
        <v>70</v>
      </c>
      <c r="I79" s="2">
        <v>82</v>
      </c>
      <c r="K79" s="2" t="s">
        <v>4</v>
      </c>
      <c r="N79" s="2" t="s">
        <v>4</v>
      </c>
      <c r="O79" s="6">
        <f t="shared" si="12"/>
        <v>73.5</v>
      </c>
      <c r="P79" s="7">
        <f t="shared" si="13"/>
        <v>14.5</v>
      </c>
      <c r="Q79" s="2">
        <v>58</v>
      </c>
      <c r="R79" s="2">
        <v>59</v>
      </c>
      <c r="S79" s="2"/>
      <c r="T79" s="2">
        <f t="shared" si="14"/>
        <v>58.5</v>
      </c>
      <c r="U79" s="3">
        <f t="shared" si="15"/>
        <v>-0.5</v>
      </c>
      <c r="V79" s="8">
        <f t="shared" si="11"/>
        <v>15</v>
      </c>
    </row>
    <row r="80" spans="3:22" x14ac:dyDescent="0.2">
      <c r="C80" s="2">
        <v>7</v>
      </c>
      <c r="D80" s="2" t="s">
        <v>39</v>
      </c>
      <c r="E80" s="2">
        <v>4</v>
      </c>
      <c r="F80" s="2">
        <v>73</v>
      </c>
      <c r="G80" s="2">
        <v>69</v>
      </c>
      <c r="H80" s="2">
        <v>68</v>
      </c>
      <c r="I80" s="2">
        <v>74</v>
      </c>
      <c r="K80" s="2" t="s">
        <v>4</v>
      </c>
      <c r="N80" s="2" t="s">
        <v>4</v>
      </c>
      <c r="O80" s="6">
        <f t="shared" si="12"/>
        <v>71</v>
      </c>
      <c r="P80" s="7">
        <f t="shared" si="13"/>
        <v>-9</v>
      </c>
      <c r="Q80" s="2">
        <v>58</v>
      </c>
      <c r="R80" s="2">
        <v>76</v>
      </c>
      <c r="S80" s="2"/>
      <c r="T80" s="2">
        <f t="shared" si="14"/>
        <v>67</v>
      </c>
      <c r="U80" s="3">
        <f t="shared" si="15"/>
        <v>-13</v>
      </c>
      <c r="V80" s="8">
        <f t="shared" si="11"/>
        <v>4</v>
      </c>
    </row>
    <row r="81" spans="3:22" x14ac:dyDescent="0.2">
      <c r="C81" s="2">
        <v>7</v>
      </c>
      <c r="D81" s="2" t="s">
        <v>16</v>
      </c>
      <c r="E81" s="2">
        <v>3</v>
      </c>
      <c r="F81" s="2">
        <v>70</v>
      </c>
      <c r="G81" s="2">
        <v>75</v>
      </c>
      <c r="H81" s="2">
        <v>76</v>
      </c>
      <c r="I81" s="2">
        <v>75</v>
      </c>
      <c r="K81" s="2" t="s">
        <v>4</v>
      </c>
      <c r="N81" s="2" t="s">
        <v>4</v>
      </c>
      <c r="O81" s="6">
        <f t="shared" si="12"/>
        <v>74</v>
      </c>
      <c r="P81" s="7">
        <f t="shared" si="13"/>
        <v>4</v>
      </c>
      <c r="Q81" s="2">
        <v>57</v>
      </c>
      <c r="R81" s="2">
        <v>53</v>
      </c>
      <c r="S81" s="2"/>
      <c r="T81" s="2">
        <f t="shared" si="14"/>
        <v>55</v>
      </c>
      <c r="U81" s="3">
        <f t="shared" si="15"/>
        <v>-15</v>
      </c>
      <c r="V81" s="8">
        <f t="shared" si="11"/>
        <v>19</v>
      </c>
    </row>
    <row r="82" spans="3:22" x14ac:dyDescent="0.2">
      <c r="C82" s="2">
        <v>7</v>
      </c>
      <c r="D82" s="2" t="s">
        <v>14</v>
      </c>
      <c r="E82" s="2">
        <v>2</v>
      </c>
      <c r="F82" s="2">
        <v>75</v>
      </c>
      <c r="G82" s="2">
        <v>75</v>
      </c>
      <c r="H82" s="2">
        <v>79</v>
      </c>
      <c r="I82" s="2">
        <v>81</v>
      </c>
      <c r="K82" s="2" t="s">
        <v>4</v>
      </c>
      <c r="N82" s="2" t="s">
        <v>4</v>
      </c>
      <c r="O82" s="6">
        <f t="shared" si="12"/>
        <v>77.5</v>
      </c>
      <c r="P82" s="7">
        <f t="shared" si="13"/>
        <v>10.5</v>
      </c>
      <c r="Q82" s="2">
        <v>57</v>
      </c>
      <c r="R82" s="2">
        <v>61</v>
      </c>
      <c r="S82" s="2"/>
      <c r="T82" s="2">
        <f t="shared" si="14"/>
        <v>59</v>
      </c>
      <c r="U82" s="3">
        <f t="shared" si="15"/>
        <v>-8</v>
      </c>
      <c r="V82" s="8">
        <f t="shared" si="11"/>
        <v>18.5</v>
      </c>
    </row>
    <row r="83" spans="3:22" x14ac:dyDescent="0.2">
      <c r="C83" s="2">
        <v>7</v>
      </c>
      <c r="D83" s="2" t="s">
        <v>9</v>
      </c>
      <c r="E83" s="2">
        <v>3</v>
      </c>
      <c r="F83" s="2">
        <v>86</v>
      </c>
      <c r="G83" s="2">
        <v>79</v>
      </c>
      <c r="H83" s="2">
        <v>74</v>
      </c>
      <c r="I83" s="2">
        <v>74</v>
      </c>
      <c r="K83" s="2" t="s">
        <v>4</v>
      </c>
      <c r="N83" s="2" t="s">
        <v>4</v>
      </c>
      <c r="O83" s="6">
        <f t="shared" si="12"/>
        <v>78.25</v>
      </c>
      <c r="P83" s="7">
        <f t="shared" si="13"/>
        <v>5.25</v>
      </c>
      <c r="Q83" s="2">
        <v>57</v>
      </c>
      <c r="R83" s="2">
        <v>65</v>
      </c>
      <c r="S83" s="2"/>
      <c r="T83" s="2">
        <f t="shared" si="14"/>
        <v>61</v>
      </c>
      <c r="U83" s="3">
        <f t="shared" si="15"/>
        <v>-12</v>
      </c>
      <c r="V83" s="8">
        <f t="shared" si="11"/>
        <v>17.25</v>
      </c>
    </row>
    <row r="84" spans="3:22" x14ac:dyDescent="0.2">
      <c r="C84" s="2">
        <v>7</v>
      </c>
      <c r="D84" s="2" t="s">
        <v>19</v>
      </c>
      <c r="E84" s="2">
        <v>2</v>
      </c>
      <c r="F84" s="2">
        <v>72</v>
      </c>
      <c r="G84" s="2">
        <v>76</v>
      </c>
      <c r="H84" s="2">
        <v>80</v>
      </c>
      <c r="I84" s="2">
        <v>78</v>
      </c>
      <c r="K84" s="2" t="s">
        <v>4</v>
      </c>
      <c r="N84" s="2" t="s">
        <v>4</v>
      </c>
      <c r="O84" s="6">
        <f t="shared" si="12"/>
        <v>76.5</v>
      </c>
      <c r="P84" s="7">
        <f t="shared" si="13"/>
        <v>12.5</v>
      </c>
      <c r="Q84" s="2">
        <v>54</v>
      </c>
      <c r="R84" s="2">
        <v>59</v>
      </c>
      <c r="S84" s="2"/>
      <c r="T84" s="2">
        <f t="shared" si="14"/>
        <v>56.5</v>
      </c>
      <c r="U84" s="3">
        <f t="shared" si="15"/>
        <v>-7.5</v>
      </c>
      <c r="V84" s="8">
        <f t="shared" si="11"/>
        <v>20</v>
      </c>
    </row>
    <row r="85" spans="3:22" x14ac:dyDescent="0.2">
      <c r="C85" s="2">
        <v>7</v>
      </c>
      <c r="D85" s="2" t="s">
        <v>34</v>
      </c>
      <c r="E85" s="2">
        <v>1</v>
      </c>
      <c r="F85" s="2">
        <v>66</v>
      </c>
      <c r="G85" s="2">
        <v>67</v>
      </c>
      <c r="H85" s="2">
        <v>78</v>
      </c>
      <c r="I85" s="2">
        <v>72</v>
      </c>
      <c r="K85" s="2" t="s">
        <v>4</v>
      </c>
      <c r="N85" s="2" t="s">
        <v>4</v>
      </c>
      <c r="O85" s="6">
        <f t="shared" si="12"/>
        <v>70.75</v>
      </c>
      <c r="P85" s="7">
        <f t="shared" si="13"/>
        <v>17.75</v>
      </c>
      <c r="Q85" s="2">
        <v>54</v>
      </c>
      <c r="R85" s="2">
        <v>71</v>
      </c>
      <c r="S85" s="2"/>
      <c r="T85" s="2">
        <f t="shared" si="14"/>
        <v>62.5</v>
      </c>
      <c r="U85" s="3">
        <f t="shared" si="15"/>
        <v>9.5</v>
      </c>
      <c r="V85" s="8">
        <f t="shared" si="11"/>
        <v>8.25</v>
      </c>
    </row>
    <row r="86" spans="3:22" x14ac:dyDescent="0.2">
      <c r="C86" s="2">
        <v>7</v>
      </c>
      <c r="D86" s="2" t="s">
        <v>8</v>
      </c>
      <c r="E86" s="2">
        <v>1</v>
      </c>
      <c r="F86" s="2">
        <v>67</v>
      </c>
      <c r="G86" s="2">
        <v>68</v>
      </c>
      <c r="H86" s="2">
        <v>69</v>
      </c>
      <c r="I86" s="2">
        <v>77</v>
      </c>
      <c r="K86" s="2" t="s">
        <v>4</v>
      </c>
      <c r="N86" s="2" t="s">
        <v>4</v>
      </c>
      <c r="O86" s="6">
        <f t="shared" si="12"/>
        <v>70.25</v>
      </c>
      <c r="P86" s="7">
        <f t="shared" si="13"/>
        <v>11.25</v>
      </c>
      <c r="Q86" s="2">
        <v>50</v>
      </c>
      <c r="R86" s="2">
        <v>50</v>
      </c>
      <c r="S86" s="2"/>
      <c r="T86" s="2">
        <f t="shared" si="14"/>
        <v>50</v>
      </c>
      <c r="U86" s="3">
        <f t="shared" si="15"/>
        <v>-9</v>
      </c>
      <c r="V86" s="8">
        <f t="shared" si="11"/>
        <v>20.25</v>
      </c>
    </row>
    <row r="87" spans="3:22" x14ac:dyDescent="0.2">
      <c r="C87" s="2">
        <v>7</v>
      </c>
      <c r="D87" s="2" t="s">
        <v>12</v>
      </c>
      <c r="E87" s="2">
        <v>2</v>
      </c>
      <c r="F87" s="2">
        <v>75</v>
      </c>
      <c r="G87" s="2">
        <v>66</v>
      </c>
      <c r="H87" s="2">
        <v>71</v>
      </c>
      <c r="I87" s="2">
        <v>74</v>
      </c>
      <c r="K87" s="2" t="s">
        <v>4</v>
      </c>
      <c r="N87" s="2" t="s">
        <v>4</v>
      </c>
      <c r="O87" s="6">
        <f t="shared" si="12"/>
        <v>71.5</v>
      </c>
      <c r="P87" s="7">
        <f t="shared" si="13"/>
        <v>8.5</v>
      </c>
      <c r="Q87" s="2">
        <v>50</v>
      </c>
      <c r="R87" s="2">
        <v>60</v>
      </c>
      <c r="S87" s="2"/>
      <c r="T87" s="2">
        <f t="shared" si="14"/>
        <v>55</v>
      </c>
      <c r="U87" s="3">
        <f t="shared" si="15"/>
        <v>-8</v>
      </c>
      <c r="V87" s="8">
        <f t="shared" si="11"/>
        <v>16.5</v>
      </c>
    </row>
    <row r="88" spans="3:22" x14ac:dyDescent="0.2">
      <c r="C88" s="2">
        <v>7</v>
      </c>
      <c r="D88" s="2" t="s">
        <v>34</v>
      </c>
      <c r="E88" s="2">
        <v>1</v>
      </c>
      <c r="F88" s="2">
        <v>67</v>
      </c>
      <c r="G88" s="2">
        <v>83</v>
      </c>
      <c r="H88" s="2">
        <v>68</v>
      </c>
      <c r="I88" s="2">
        <v>71</v>
      </c>
      <c r="K88" s="2" t="s">
        <v>4</v>
      </c>
      <c r="N88" s="2" t="s">
        <v>4</v>
      </c>
      <c r="O88" s="6">
        <f t="shared" si="12"/>
        <v>72.25</v>
      </c>
      <c r="P88" s="7">
        <f t="shared" si="13"/>
        <v>19.25</v>
      </c>
      <c r="Q88" s="2">
        <v>38</v>
      </c>
      <c r="R88" s="2">
        <v>63</v>
      </c>
      <c r="S88" s="2"/>
      <c r="T88" s="2">
        <f t="shared" si="14"/>
        <v>50.5</v>
      </c>
      <c r="U88" s="3">
        <f t="shared" si="15"/>
        <v>-2.5</v>
      </c>
      <c r="V88" s="8">
        <f t="shared" si="11"/>
        <v>21.75</v>
      </c>
    </row>
    <row r="89" spans="3:22" x14ac:dyDescent="0.2">
      <c r="C89" s="2">
        <v>8</v>
      </c>
      <c r="D89" s="2" t="s">
        <v>16</v>
      </c>
      <c r="E89" s="2">
        <v>3</v>
      </c>
      <c r="F89" s="2">
        <v>79</v>
      </c>
      <c r="G89" s="2">
        <v>80</v>
      </c>
      <c r="H89" s="2">
        <v>82</v>
      </c>
      <c r="I89" s="2">
        <v>78</v>
      </c>
      <c r="K89" s="2" t="s">
        <v>4</v>
      </c>
      <c r="N89" s="2" t="s">
        <v>4</v>
      </c>
      <c r="O89" s="6">
        <f t="shared" si="12"/>
        <v>79.75</v>
      </c>
      <c r="P89" s="7">
        <f t="shared" si="13"/>
        <v>9.75</v>
      </c>
      <c r="Q89" s="2">
        <v>74</v>
      </c>
      <c r="R89" s="2">
        <v>67</v>
      </c>
      <c r="S89" s="2"/>
      <c r="T89" s="2">
        <f t="shared" si="14"/>
        <v>70.5</v>
      </c>
      <c r="U89" s="3">
        <f t="shared" si="15"/>
        <v>0.5</v>
      </c>
      <c r="V89" s="8">
        <f t="shared" si="11"/>
        <v>9.25</v>
      </c>
    </row>
    <row r="90" spans="3:22" x14ac:dyDescent="0.2">
      <c r="C90" s="2">
        <v>8</v>
      </c>
      <c r="D90" s="2" t="s">
        <v>20</v>
      </c>
      <c r="E90" s="2">
        <v>3</v>
      </c>
      <c r="F90" s="2">
        <v>92</v>
      </c>
      <c r="G90" s="2">
        <v>91</v>
      </c>
      <c r="H90" s="2">
        <v>84</v>
      </c>
      <c r="I90" s="2">
        <v>84</v>
      </c>
      <c r="K90" s="2" t="s">
        <v>4</v>
      </c>
      <c r="N90" s="2" t="s">
        <v>4</v>
      </c>
      <c r="O90" s="6">
        <f t="shared" si="12"/>
        <v>87.75</v>
      </c>
      <c r="P90" s="7">
        <f t="shared" si="13"/>
        <v>12.75</v>
      </c>
      <c r="Q90" s="2">
        <v>72</v>
      </c>
      <c r="R90" s="2">
        <v>86</v>
      </c>
      <c r="S90" s="2"/>
      <c r="T90" s="2">
        <f t="shared" si="14"/>
        <v>79</v>
      </c>
      <c r="U90" s="3">
        <f t="shared" si="15"/>
        <v>4</v>
      </c>
      <c r="V90" s="8">
        <f t="shared" si="11"/>
        <v>8.75</v>
      </c>
    </row>
    <row r="91" spans="3:22" x14ac:dyDescent="0.2">
      <c r="C91" s="2">
        <v>8</v>
      </c>
      <c r="D91" s="2" t="s">
        <v>20</v>
      </c>
      <c r="E91" s="2">
        <v>3</v>
      </c>
      <c r="F91" s="2">
        <v>75</v>
      </c>
      <c r="G91" s="2">
        <v>83</v>
      </c>
      <c r="H91" s="2">
        <v>83</v>
      </c>
      <c r="I91" s="2">
        <v>69</v>
      </c>
      <c r="K91" s="2" t="s">
        <v>4</v>
      </c>
      <c r="N91" s="2" t="s">
        <v>4</v>
      </c>
      <c r="O91" s="6">
        <f t="shared" si="12"/>
        <v>77.5</v>
      </c>
      <c r="P91" s="7">
        <f t="shared" si="13"/>
        <v>2.5</v>
      </c>
      <c r="Q91" s="2">
        <v>70</v>
      </c>
      <c r="R91" s="2">
        <v>68</v>
      </c>
      <c r="S91" s="2"/>
      <c r="T91" s="2">
        <f t="shared" si="14"/>
        <v>69</v>
      </c>
      <c r="U91" s="3">
        <f t="shared" si="15"/>
        <v>-6</v>
      </c>
      <c r="V91" s="8">
        <f t="shared" si="11"/>
        <v>8.5</v>
      </c>
    </row>
    <row r="92" spans="3:22" x14ac:dyDescent="0.2">
      <c r="C92" s="2">
        <v>8</v>
      </c>
      <c r="D92" s="2" t="s">
        <v>25</v>
      </c>
      <c r="E92" s="2">
        <v>2</v>
      </c>
      <c r="F92" s="2">
        <v>85</v>
      </c>
      <c r="G92" s="2">
        <v>82</v>
      </c>
      <c r="H92" s="2">
        <v>73</v>
      </c>
      <c r="I92" s="2">
        <v>83</v>
      </c>
      <c r="K92" s="2" t="s">
        <v>4</v>
      </c>
      <c r="N92" s="2" t="s">
        <v>4</v>
      </c>
      <c r="O92" s="6">
        <f t="shared" si="12"/>
        <v>80.75</v>
      </c>
      <c r="P92" s="7">
        <f t="shared" si="13"/>
        <v>15.75</v>
      </c>
      <c r="Q92" s="2">
        <v>68</v>
      </c>
      <c r="R92" s="2">
        <v>53</v>
      </c>
      <c r="S92" s="2"/>
      <c r="T92" s="2">
        <f t="shared" si="14"/>
        <v>60.5</v>
      </c>
      <c r="U92" s="3">
        <f t="shared" si="15"/>
        <v>-4.5</v>
      </c>
      <c r="V92" s="8">
        <f t="shared" si="11"/>
        <v>20.25</v>
      </c>
    </row>
    <row r="93" spans="3:22" x14ac:dyDescent="0.2">
      <c r="C93" s="2">
        <v>8</v>
      </c>
      <c r="D93" s="2" t="s">
        <v>14</v>
      </c>
      <c r="E93" s="2">
        <v>2</v>
      </c>
      <c r="F93" s="2">
        <v>76</v>
      </c>
      <c r="G93" s="2">
        <v>82</v>
      </c>
      <c r="H93" s="2">
        <v>77</v>
      </c>
      <c r="I93" s="2">
        <v>77</v>
      </c>
      <c r="K93" s="2" t="s">
        <v>4</v>
      </c>
      <c r="N93" s="2" t="s">
        <v>4</v>
      </c>
      <c r="O93" s="6">
        <f t="shared" si="12"/>
        <v>78</v>
      </c>
      <c r="P93" s="7">
        <f t="shared" si="13"/>
        <v>11</v>
      </c>
      <c r="Q93" s="2">
        <v>66</v>
      </c>
      <c r="R93" s="2">
        <v>77</v>
      </c>
      <c r="S93" s="2"/>
      <c r="T93" s="2">
        <f t="shared" si="14"/>
        <v>71.5</v>
      </c>
      <c r="U93" s="3">
        <f t="shared" si="15"/>
        <v>4.5</v>
      </c>
      <c r="V93" s="8">
        <f t="shared" si="11"/>
        <v>6.5</v>
      </c>
    </row>
    <row r="94" spans="3:22" x14ac:dyDescent="0.2">
      <c r="C94" s="2">
        <v>8</v>
      </c>
      <c r="D94" s="2" t="s">
        <v>36</v>
      </c>
      <c r="E94" s="2">
        <v>3</v>
      </c>
      <c r="F94" s="2">
        <v>80</v>
      </c>
      <c r="G94" s="2">
        <v>77</v>
      </c>
      <c r="H94" s="2">
        <v>75</v>
      </c>
      <c r="I94" s="2">
        <v>80</v>
      </c>
      <c r="K94" s="2" t="s">
        <v>4</v>
      </c>
      <c r="N94" s="2" t="s">
        <v>4</v>
      </c>
      <c r="O94" s="6">
        <f t="shared" si="12"/>
        <v>78</v>
      </c>
      <c r="P94" s="7">
        <f t="shared" si="13"/>
        <v>4</v>
      </c>
      <c r="Q94" s="2">
        <v>63</v>
      </c>
      <c r="R94" s="2">
        <v>75</v>
      </c>
      <c r="S94" s="2"/>
      <c r="T94" s="2">
        <f t="shared" si="14"/>
        <v>69</v>
      </c>
      <c r="U94" s="3">
        <f t="shared" si="15"/>
        <v>-5</v>
      </c>
      <c r="V94" s="8">
        <f t="shared" ref="V94:V107" si="16">O94-T94</f>
        <v>9</v>
      </c>
    </row>
    <row r="95" spans="3:22" x14ac:dyDescent="0.2">
      <c r="C95" s="2">
        <v>8</v>
      </c>
      <c r="D95" s="2" t="s">
        <v>20</v>
      </c>
      <c r="E95" s="2">
        <v>3</v>
      </c>
      <c r="F95" s="2">
        <v>89</v>
      </c>
      <c r="G95" s="2">
        <v>83</v>
      </c>
      <c r="H95" s="2">
        <v>82</v>
      </c>
      <c r="I95" s="2">
        <v>74</v>
      </c>
      <c r="K95" s="2" t="s">
        <v>4</v>
      </c>
      <c r="N95" s="2" t="s">
        <v>4</v>
      </c>
      <c r="O95" s="6">
        <f t="shared" si="12"/>
        <v>82</v>
      </c>
      <c r="P95" s="7">
        <f t="shared" si="13"/>
        <v>7</v>
      </c>
      <c r="Q95" s="2">
        <v>60</v>
      </c>
      <c r="R95" s="2">
        <v>66</v>
      </c>
      <c r="S95" s="2"/>
      <c r="T95" s="2">
        <f t="shared" si="14"/>
        <v>63</v>
      </c>
      <c r="U95" s="3">
        <f t="shared" si="15"/>
        <v>-12</v>
      </c>
      <c r="V95" s="8">
        <f t="shared" si="16"/>
        <v>19</v>
      </c>
    </row>
    <row r="96" spans="3:22" x14ac:dyDescent="0.2">
      <c r="C96" s="2">
        <v>8</v>
      </c>
      <c r="D96" s="2" t="s">
        <v>32</v>
      </c>
      <c r="E96" s="2">
        <v>3</v>
      </c>
      <c r="F96" s="2">
        <v>91</v>
      </c>
      <c r="G96" s="2">
        <v>80</v>
      </c>
      <c r="H96" s="2">
        <v>75</v>
      </c>
      <c r="I96" s="2">
        <v>71</v>
      </c>
      <c r="K96" s="2" t="s">
        <v>4</v>
      </c>
      <c r="N96" s="2" t="s">
        <v>4</v>
      </c>
      <c r="O96" s="6">
        <f t="shared" si="12"/>
        <v>79.25</v>
      </c>
      <c r="P96" s="7">
        <f t="shared" si="13"/>
        <v>8.25</v>
      </c>
      <c r="Q96" s="2">
        <v>60</v>
      </c>
      <c r="R96" s="2">
        <v>61</v>
      </c>
      <c r="S96" s="2"/>
      <c r="T96" s="2">
        <f t="shared" si="14"/>
        <v>60.5</v>
      </c>
      <c r="U96" s="3">
        <f t="shared" si="15"/>
        <v>-10.5</v>
      </c>
      <c r="V96" s="8">
        <f t="shared" si="16"/>
        <v>18.75</v>
      </c>
    </row>
    <row r="97" spans="3:22" x14ac:dyDescent="0.2">
      <c r="C97" s="2">
        <v>8</v>
      </c>
      <c r="D97" s="2" t="s">
        <v>30</v>
      </c>
      <c r="E97" s="2">
        <v>3</v>
      </c>
      <c r="F97" s="2">
        <v>65</v>
      </c>
      <c r="G97" s="2">
        <v>77</v>
      </c>
      <c r="H97" s="2">
        <v>69</v>
      </c>
      <c r="I97" s="2">
        <v>74</v>
      </c>
      <c r="K97" s="2" t="s">
        <v>4</v>
      </c>
      <c r="N97" s="2" t="s">
        <v>4</v>
      </c>
      <c r="O97" s="6">
        <f t="shared" si="12"/>
        <v>71.25</v>
      </c>
      <c r="P97" s="7">
        <f t="shared" si="13"/>
        <v>-5.75</v>
      </c>
      <c r="Q97" s="2">
        <v>60</v>
      </c>
      <c r="R97" s="2">
        <v>73</v>
      </c>
      <c r="S97" s="2"/>
      <c r="T97" s="2">
        <f t="shared" si="14"/>
        <v>66.5</v>
      </c>
      <c r="U97" s="3">
        <f t="shared" si="15"/>
        <v>-10.5</v>
      </c>
      <c r="V97" s="8">
        <f t="shared" si="16"/>
        <v>4.75</v>
      </c>
    </row>
    <row r="98" spans="3:22" x14ac:dyDescent="0.2">
      <c r="C98" s="2">
        <v>8</v>
      </c>
      <c r="D98" s="2" t="s">
        <v>12</v>
      </c>
      <c r="E98" s="2">
        <v>2</v>
      </c>
      <c r="F98" s="2">
        <v>63</v>
      </c>
      <c r="G98" s="2">
        <v>78</v>
      </c>
      <c r="H98" s="2">
        <v>71</v>
      </c>
      <c r="I98" s="2">
        <v>85</v>
      </c>
      <c r="K98" s="2" t="s">
        <v>4</v>
      </c>
      <c r="N98" s="2" t="s">
        <v>4</v>
      </c>
      <c r="O98" s="6">
        <f t="shared" si="12"/>
        <v>74.25</v>
      </c>
      <c r="P98" s="7">
        <f t="shared" si="13"/>
        <v>11.25</v>
      </c>
      <c r="Q98" s="2">
        <v>58</v>
      </c>
      <c r="R98" s="2">
        <v>55</v>
      </c>
      <c r="S98" s="2"/>
      <c r="T98" s="2">
        <f t="shared" si="14"/>
        <v>56.5</v>
      </c>
      <c r="U98" s="3">
        <f t="shared" si="15"/>
        <v>-6.5</v>
      </c>
      <c r="V98" s="8">
        <f t="shared" si="16"/>
        <v>17.75</v>
      </c>
    </row>
    <row r="99" spans="3:22" x14ac:dyDescent="0.2">
      <c r="C99" s="2">
        <v>8</v>
      </c>
      <c r="D99" s="2" t="s">
        <v>36</v>
      </c>
      <c r="E99" s="2">
        <v>3</v>
      </c>
      <c r="F99" s="2">
        <v>84</v>
      </c>
      <c r="G99" s="2">
        <v>87</v>
      </c>
      <c r="H99" s="2">
        <v>65</v>
      </c>
      <c r="I99" s="2">
        <v>78</v>
      </c>
      <c r="K99" s="2" t="s">
        <v>4</v>
      </c>
      <c r="N99" s="2" t="s">
        <v>4</v>
      </c>
      <c r="O99" s="6">
        <f t="shared" ref="O99:O107" si="17">(F99+G99+H99+I99)/4</f>
        <v>78.5</v>
      </c>
      <c r="P99" s="7">
        <f t="shared" ref="P99:P130" si="18">O99-D99</f>
        <v>4.5</v>
      </c>
      <c r="Q99" s="2">
        <v>57</v>
      </c>
      <c r="R99" s="2">
        <v>51</v>
      </c>
      <c r="S99" s="2"/>
      <c r="T99" s="2">
        <f t="shared" ref="T99:T107" si="19">(Q99+R99)/2</f>
        <v>54</v>
      </c>
      <c r="U99" s="3">
        <f t="shared" ref="U99:U130" si="20">T99-D99</f>
        <v>-20</v>
      </c>
      <c r="V99" s="8">
        <f t="shared" si="16"/>
        <v>24.5</v>
      </c>
    </row>
    <row r="100" spans="3:22" x14ac:dyDescent="0.2">
      <c r="C100" s="2">
        <v>8</v>
      </c>
      <c r="D100" s="2" t="s">
        <v>16</v>
      </c>
      <c r="E100" s="2">
        <v>3</v>
      </c>
      <c r="F100" s="2">
        <v>95</v>
      </c>
      <c r="G100" s="2">
        <v>87</v>
      </c>
      <c r="H100" s="2">
        <v>75</v>
      </c>
      <c r="I100" s="2">
        <v>80</v>
      </c>
      <c r="K100" s="2" t="s">
        <v>4</v>
      </c>
      <c r="N100" s="2" t="s">
        <v>4</v>
      </c>
      <c r="O100" s="6">
        <f t="shared" si="17"/>
        <v>84.25</v>
      </c>
      <c r="P100" s="7">
        <f t="shared" si="18"/>
        <v>14.25</v>
      </c>
      <c r="Q100" s="2">
        <v>57</v>
      </c>
      <c r="R100" s="2">
        <v>70</v>
      </c>
      <c r="S100" s="2"/>
      <c r="T100" s="2">
        <f t="shared" si="19"/>
        <v>63.5</v>
      </c>
      <c r="U100" s="3">
        <f t="shared" si="20"/>
        <v>-6.5</v>
      </c>
      <c r="V100" s="8">
        <f t="shared" si="16"/>
        <v>20.75</v>
      </c>
    </row>
    <row r="101" spans="3:22" x14ac:dyDescent="0.2">
      <c r="C101" s="2">
        <v>8</v>
      </c>
      <c r="D101" s="2" t="s">
        <v>25</v>
      </c>
      <c r="E101" s="2">
        <v>2</v>
      </c>
      <c r="F101" s="2">
        <v>75</v>
      </c>
      <c r="G101" s="2">
        <v>85</v>
      </c>
      <c r="H101" s="2">
        <v>70</v>
      </c>
      <c r="I101" s="2">
        <v>71</v>
      </c>
      <c r="K101" s="2" t="s">
        <v>4</v>
      </c>
      <c r="N101" s="2" t="s">
        <v>4</v>
      </c>
      <c r="O101" s="6">
        <f t="shared" si="17"/>
        <v>75.25</v>
      </c>
      <c r="P101" s="7">
        <f t="shared" si="18"/>
        <v>10.25</v>
      </c>
      <c r="Q101" s="2">
        <v>57</v>
      </c>
      <c r="R101" s="2">
        <v>65</v>
      </c>
      <c r="S101" s="2"/>
      <c r="T101" s="2">
        <f t="shared" si="19"/>
        <v>61</v>
      </c>
      <c r="U101" s="3">
        <f t="shared" si="20"/>
        <v>-4</v>
      </c>
      <c r="V101" s="8">
        <f t="shared" si="16"/>
        <v>14.25</v>
      </c>
    </row>
    <row r="102" spans="3:22" x14ac:dyDescent="0.2">
      <c r="C102" s="2">
        <v>8</v>
      </c>
      <c r="D102" s="2" t="s">
        <v>30</v>
      </c>
      <c r="E102" s="2">
        <v>3</v>
      </c>
      <c r="F102" s="2">
        <v>84</v>
      </c>
      <c r="G102" s="2">
        <v>77</v>
      </c>
      <c r="H102" s="2">
        <v>72</v>
      </c>
      <c r="I102" s="2">
        <v>57</v>
      </c>
      <c r="K102" s="2" t="s">
        <v>4</v>
      </c>
      <c r="N102" s="2" t="s">
        <v>4</v>
      </c>
      <c r="O102" s="6">
        <f t="shared" si="17"/>
        <v>72.5</v>
      </c>
      <c r="P102" s="7">
        <f t="shared" si="18"/>
        <v>-4.5</v>
      </c>
      <c r="Q102" s="2">
        <v>56</v>
      </c>
      <c r="R102" s="2">
        <v>70</v>
      </c>
      <c r="S102" s="2"/>
      <c r="T102" s="2">
        <f t="shared" si="19"/>
        <v>63</v>
      </c>
      <c r="U102" s="3">
        <f t="shared" si="20"/>
        <v>-14</v>
      </c>
      <c r="V102" s="8">
        <f t="shared" si="16"/>
        <v>9.5</v>
      </c>
    </row>
    <row r="103" spans="3:22" x14ac:dyDescent="0.2">
      <c r="C103" s="2">
        <v>8</v>
      </c>
      <c r="D103" s="2" t="s">
        <v>25</v>
      </c>
      <c r="E103" s="2">
        <v>2</v>
      </c>
      <c r="F103" s="2">
        <v>91</v>
      </c>
      <c r="G103" s="2">
        <v>88</v>
      </c>
      <c r="H103" s="2">
        <v>78</v>
      </c>
      <c r="I103" s="2">
        <v>86</v>
      </c>
      <c r="K103" s="2" t="s">
        <v>4</v>
      </c>
      <c r="N103" s="2" t="s">
        <v>4</v>
      </c>
      <c r="O103" s="6">
        <f t="shared" si="17"/>
        <v>85.75</v>
      </c>
      <c r="P103" s="7">
        <f t="shared" si="18"/>
        <v>20.75</v>
      </c>
      <c r="Q103" s="2">
        <v>54</v>
      </c>
      <c r="R103" s="2">
        <v>51</v>
      </c>
      <c r="S103" s="2"/>
      <c r="T103" s="2">
        <f t="shared" si="19"/>
        <v>52.5</v>
      </c>
      <c r="U103" s="3">
        <f t="shared" si="20"/>
        <v>-12.5</v>
      </c>
      <c r="V103" s="8">
        <f t="shared" si="16"/>
        <v>33.25</v>
      </c>
    </row>
    <row r="104" spans="3:22" x14ac:dyDescent="0.2">
      <c r="C104" s="2">
        <v>8</v>
      </c>
      <c r="D104" s="2" t="s">
        <v>5</v>
      </c>
      <c r="E104" s="2">
        <v>2</v>
      </c>
      <c r="F104" s="2">
        <v>69</v>
      </c>
      <c r="G104" s="2">
        <v>77</v>
      </c>
      <c r="H104" s="2">
        <v>57</v>
      </c>
      <c r="I104" s="2">
        <v>63</v>
      </c>
      <c r="K104" s="2" t="s">
        <v>4</v>
      </c>
      <c r="N104" s="2" t="s">
        <v>4</v>
      </c>
      <c r="O104" s="6">
        <f t="shared" si="17"/>
        <v>66.5</v>
      </c>
      <c r="P104" s="7">
        <f t="shared" si="18"/>
        <v>4.5</v>
      </c>
      <c r="Q104" s="2">
        <v>50</v>
      </c>
      <c r="R104" s="2">
        <v>57</v>
      </c>
      <c r="S104" s="2"/>
      <c r="T104" s="2">
        <f t="shared" si="19"/>
        <v>53.5</v>
      </c>
      <c r="U104" s="3">
        <f t="shared" si="20"/>
        <v>-8.5</v>
      </c>
      <c r="V104" s="8">
        <f t="shared" si="16"/>
        <v>13</v>
      </c>
    </row>
    <row r="105" spans="3:22" x14ac:dyDescent="0.2">
      <c r="C105" s="2">
        <v>8</v>
      </c>
      <c r="D105" s="2" t="s">
        <v>22</v>
      </c>
      <c r="E105" s="2">
        <v>1</v>
      </c>
      <c r="F105" s="2">
        <v>85</v>
      </c>
      <c r="G105" s="2">
        <v>80</v>
      </c>
      <c r="H105" s="2">
        <v>70</v>
      </c>
      <c r="I105" s="2">
        <v>73</v>
      </c>
      <c r="K105" s="2" t="s">
        <v>4</v>
      </c>
      <c r="N105" s="2" t="s">
        <v>4</v>
      </c>
      <c r="O105" s="6">
        <f t="shared" si="17"/>
        <v>77</v>
      </c>
      <c r="P105" s="7">
        <f t="shared" si="18"/>
        <v>22</v>
      </c>
      <c r="Q105" s="2">
        <v>49</v>
      </c>
      <c r="R105" s="2">
        <v>60</v>
      </c>
      <c r="S105" s="2"/>
      <c r="T105" s="2">
        <f t="shared" si="19"/>
        <v>54.5</v>
      </c>
      <c r="U105" s="3">
        <f t="shared" si="20"/>
        <v>-0.5</v>
      </c>
      <c r="V105" s="8">
        <f t="shared" si="16"/>
        <v>22.5</v>
      </c>
    </row>
    <row r="106" spans="3:22" x14ac:dyDescent="0.2">
      <c r="C106" s="2">
        <v>8</v>
      </c>
      <c r="D106" s="2" t="s">
        <v>15</v>
      </c>
      <c r="E106" s="2">
        <v>1</v>
      </c>
      <c r="F106" s="2">
        <v>72</v>
      </c>
      <c r="G106" s="2">
        <v>78</v>
      </c>
      <c r="H106" s="2">
        <v>63</v>
      </c>
      <c r="I106" s="2">
        <v>72</v>
      </c>
      <c r="K106" s="2" t="s">
        <v>4</v>
      </c>
      <c r="N106" s="2" t="s">
        <v>4</v>
      </c>
      <c r="O106" s="6">
        <f t="shared" si="17"/>
        <v>71.25</v>
      </c>
      <c r="P106" s="7">
        <f t="shared" si="18"/>
        <v>15.25</v>
      </c>
      <c r="Q106" s="2">
        <v>49</v>
      </c>
      <c r="R106" s="2">
        <v>63</v>
      </c>
      <c r="S106" s="2"/>
      <c r="T106" s="2">
        <f t="shared" si="19"/>
        <v>56</v>
      </c>
      <c r="U106" s="3">
        <f t="shared" si="20"/>
        <v>0</v>
      </c>
      <c r="V106" s="8">
        <f t="shared" si="16"/>
        <v>15.25</v>
      </c>
    </row>
    <row r="107" spans="3:22" x14ac:dyDescent="0.2">
      <c r="C107" s="2">
        <v>8</v>
      </c>
      <c r="D107" s="2" t="s">
        <v>27</v>
      </c>
      <c r="E107" s="2">
        <v>1</v>
      </c>
      <c r="F107" s="2">
        <v>68</v>
      </c>
      <c r="G107" s="2">
        <v>77</v>
      </c>
      <c r="H107" s="2">
        <v>74</v>
      </c>
      <c r="I107" s="2">
        <v>73</v>
      </c>
      <c r="K107" s="2" t="s">
        <v>4</v>
      </c>
      <c r="N107" s="2" t="s">
        <v>4</v>
      </c>
      <c r="O107" s="6">
        <f t="shared" si="17"/>
        <v>73</v>
      </c>
      <c r="P107" s="7">
        <f t="shared" si="18"/>
        <v>15</v>
      </c>
      <c r="Q107" s="2">
        <v>46</v>
      </c>
      <c r="R107" s="2">
        <v>62</v>
      </c>
      <c r="S107" s="2"/>
      <c r="T107" s="2">
        <f t="shared" si="19"/>
        <v>54</v>
      </c>
      <c r="U107" s="3">
        <f t="shared" si="20"/>
        <v>-4</v>
      </c>
      <c r="V107" s="8">
        <f t="shared" si="16"/>
        <v>19</v>
      </c>
    </row>
    <row r="108" spans="3:22" x14ac:dyDescent="0.2">
      <c r="D108" s="4">
        <f t="shared" ref="D108:I108" si="21">AVERAGE(D52:D107)</f>
        <v>78</v>
      </c>
      <c r="E108" s="5">
        <f t="shared" si="21"/>
        <v>2.3571428571428572</v>
      </c>
      <c r="F108" s="4">
        <f t="shared" si="21"/>
        <v>79.857142857142861</v>
      </c>
      <c r="G108" s="4">
        <f t="shared" si="21"/>
        <v>77.982142857142861</v>
      </c>
      <c r="H108" s="4">
        <f t="shared" si="21"/>
        <v>76.75</v>
      </c>
      <c r="I108" s="4">
        <f t="shared" si="21"/>
        <v>77.303571428571431</v>
      </c>
      <c r="J108" s="4"/>
      <c r="K108" s="4"/>
      <c r="L108" s="4"/>
      <c r="M108" s="4"/>
      <c r="N108" s="4"/>
      <c r="O108" s="4">
        <f>AVERAGE(O52:O107)</f>
        <v>77.973214285714292</v>
      </c>
      <c r="P108" s="4">
        <f>AVERAGE(P52:P107)</f>
        <v>10.0625</v>
      </c>
      <c r="Q108" s="4">
        <f>AVERAGE(Q52:Q107)</f>
        <v>59.25</v>
      </c>
      <c r="R108" s="4">
        <f>AVERAGE(R52:R107)</f>
        <v>65.660714285714292</v>
      </c>
      <c r="S108" s="4"/>
      <c r="T108" s="4">
        <f>AVERAGE(T52:T107)</f>
        <v>62.455357142857146</v>
      </c>
      <c r="U108" s="4">
        <f>AVERAGE(U52:U107)</f>
        <v>-5.4553571428571432</v>
      </c>
      <c r="V108" s="4">
        <f>AVERAGE(V52:V107)</f>
        <v>15.517857142857142</v>
      </c>
    </row>
  </sheetData>
  <sortState ref="A3:V108">
    <sortCondition ref="C2"/>
  </sortState>
  <conditionalFormatting sqref="O3:O108">
    <cfRule type="cellIs" dxfId="12" priority="11" operator="between">
      <formula>0</formula>
      <formula>70</formula>
    </cfRule>
    <cfRule type="cellIs" dxfId="11" priority="12" operator="between">
      <formula>70</formula>
      <formula>80</formula>
    </cfRule>
    <cfRule type="cellIs" dxfId="10" priority="13" operator="between">
      <formula>80</formula>
      <formula>100</formula>
    </cfRule>
  </conditionalFormatting>
  <conditionalFormatting sqref="P3:P108">
    <cfRule type="cellIs" dxfId="9" priority="8" operator="between">
      <formula>-30</formula>
      <formula>-5</formula>
    </cfRule>
    <cfRule type="cellIs" dxfId="8" priority="9" operator="between">
      <formula>-5</formula>
      <formula>5</formula>
    </cfRule>
    <cfRule type="cellIs" dxfId="7" priority="10" operator="between">
      <formula>5</formula>
      <formula>30</formula>
    </cfRule>
  </conditionalFormatting>
  <conditionalFormatting sqref="Q3:T108">
    <cfRule type="cellIs" dxfId="6" priority="4" operator="between">
      <formula>60</formula>
      <formula>70</formula>
    </cfRule>
    <cfRule type="cellIs" dxfId="5" priority="5" operator="between">
      <formula>0</formula>
      <formula>60</formula>
    </cfRule>
    <cfRule type="cellIs" dxfId="4" priority="6" operator="between">
      <formula>70</formula>
      <formula>80</formula>
    </cfRule>
    <cfRule type="cellIs" dxfId="3" priority="7" operator="between">
      <formula>80</formula>
      <formula>100</formula>
    </cfRule>
  </conditionalFormatting>
  <conditionalFormatting sqref="U3:V108">
    <cfRule type="cellIs" dxfId="2" priority="1" operator="between">
      <formula>-30</formula>
      <formula>-5</formula>
    </cfRule>
    <cfRule type="cellIs" dxfId="1" priority="2" operator="between">
      <formula>-5</formula>
      <formula>5</formula>
    </cfRule>
    <cfRule type="cellIs" dxfId="0" priority="3" operator="between">
      <formula>5</formula>
      <formula>30</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P29"/>
  <sheetViews>
    <sheetView tabSelected="1" workbookViewId="0">
      <selection activeCell="J34" sqref="J34"/>
    </sheetView>
  </sheetViews>
  <sheetFormatPr baseColWidth="10" defaultRowHeight="15" x14ac:dyDescent="0.2"/>
  <cols>
    <col min="1" max="1" width="14.33203125" customWidth="1"/>
    <col min="2" max="2" width="15.33203125" customWidth="1"/>
    <col min="5" max="5" width="13" customWidth="1"/>
    <col min="6" max="6" width="13.33203125" customWidth="1"/>
    <col min="7" max="7" width="13" customWidth="1"/>
    <col min="8" max="8" width="12.33203125" customWidth="1"/>
    <col min="10" max="10" width="13.5" customWidth="1"/>
    <col min="11" max="12" width="13.1640625" customWidth="1"/>
    <col min="13" max="13" width="12.83203125" customWidth="1"/>
    <col min="14" max="14" width="17.5" customWidth="1"/>
    <col min="15" max="15" width="12.83203125" customWidth="1"/>
    <col min="16" max="16" width="13.83203125" customWidth="1"/>
  </cols>
  <sheetData>
    <row r="1" spans="1:16" x14ac:dyDescent="0.2">
      <c r="A1" s="1" t="s">
        <v>0</v>
      </c>
      <c r="B1" s="1" t="s">
        <v>1</v>
      </c>
      <c r="C1" s="1" t="s">
        <v>2</v>
      </c>
      <c r="D1" s="1" t="s">
        <v>44</v>
      </c>
      <c r="E1" s="1" t="s">
        <v>45</v>
      </c>
      <c r="F1" s="1" t="s">
        <v>46</v>
      </c>
      <c r="G1" s="1" t="s">
        <v>47</v>
      </c>
      <c r="H1" s="1" t="s">
        <v>48</v>
      </c>
      <c r="I1" s="1" t="s">
        <v>49</v>
      </c>
      <c r="J1" s="1" t="s">
        <v>50</v>
      </c>
      <c r="K1" s="1" t="s">
        <v>51</v>
      </c>
      <c r="L1" s="1" t="s">
        <v>52</v>
      </c>
      <c r="M1" s="1" t="s">
        <v>53</v>
      </c>
      <c r="N1" s="1" t="s">
        <v>54</v>
      </c>
      <c r="O1" s="1" t="s">
        <v>55</v>
      </c>
      <c r="P1" s="1" t="s">
        <v>56</v>
      </c>
    </row>
    <row r="2" spans="1:16" x14ac:dyDescent="0.2">
      <c r="A2" s="2" t="s">
        <v>67</v>
      </c>
      <c r="B2" s="2" t="s">
        <v>67</v>
      </c>
      <c r="C2" s="2">
        <v>3</v>
      </c>
      <c r="D2" s="2">
        <v>2</v>
      </c>
      <c r="E2" s="2">
        <v>5</v>
      </c>
      <c r="F2" s="2">
        <v>5</v>
      </c>
      <c r="G2" s="2">
        <v>2</v>
      </c>
      <c r="H2" s="2">
        <v>4</v>
      </c>
      <c r="I2" s="2">
        <v>5</v>
      </c>
      <c r="J2" s="2">
        <v>4</v>
      </c>
      <c r="K2" s="2">
        <v>1</v>
      </c>
      <c r="L2" s="2">
        <v>1</v>
      </c>
      <c r="M2" s="2">
        <v>1</v>
      </c>
      <c r="N2" s="2">
        <v>2</v>
      </c>
      <c r="O2" s="10">
        <f t="shared" ref="O2:O27" si="0">AVERAGE(D2:N2)</f>
        <v>2.9090909090909092</v>
      </c>
    </row>
    <row r="3" spans="1:16" x14ac:dyDescent="0.2">
      <c r="A3" s="2" t="s">
        <v>68</v>
      </c>
      <c r="B3" s="2" t="s">
        <v>68</v>
      </c>
      <c r="C3" s="2">
        <v>3</v>
      </c>
      <c r="D3" s="2">
        <v>2</v>
      </c>
      <c r="E3" s="2">
        <v>2</v>
      </c>
      <c r="F3" s="2">
        <v>2</v>
      </c>
      <c r="G3" s="2">
        <v>3</v>
      </c>
      <c r="H3" s="2">
        <v>2</v>
      </c>
      <c r="I3" s="2">
        <v>2</v>
      </c>
      <c r="J3" s="2">
        <v>2</v>
      </c>
      <c r="K3" s="2">
        <v>2</v>
      </c>
      <c r="L3" s="2">
        <v>4</v>
      </c>
      <c r="M3" s="2">
        <v>1</v>
      </c>
      <c r="N3" s="2">
        <v>3</v>
      </c>
      <c r="O3" s="10">
        <f t="shared" si="0"/>
        <v>2.2727272727272729</v>
      </c>
    </row>
    <row r="4" spans="1:16" x14ac:dyDescent="0.2">
      <c r="A4" s="2" t="s">
        <v>69</v>
      </c>
      <c r="B4" s="2" t="s">
        <v>69</v>
      </c>
      <c r="C4" s="2">
        <v>3</v>
      </c>
      <c r="D4" s="2">
        <v>2</v>
      </c>
      <c r="E4" s="2">
        <v>2</v>
      </c>
      <c r="F4" s="2">
        <v>3</v>
      </c>
      <c r="G4" s="2">
        <v>3</v>
      </c>
      <c r="H4" s="2">
        <v>5</v>
      </c>
      <c r="I4" s="2">
        <v>5</v>
      </c>
      <c r="J4" s="2">
        <v>2</v>
      </c>
      <c r="K4" s="2">
        <v>1</v>
      </c>
      <c r="L4" s="2">
        <v>4</v>
      </c>
      <c r="M4" s="2">
        <v>1</v>
      </c>
      <c r="N4" s="2">
        <v>5</v>
      </c>
      <c r="O4" s="10">
        <f t="shared" si="0"/>
        <v>3</v>
      </c>
    </row>
    <row r="5" spans="1:16" x14ac:dyDescent="0.2">
      <c r="A5" s="2" t="s">
        <v>70</v>
      </c>
      <c r="B5" s="2" t="s">
        <v>70</v>
      </c>
      <c r="C5" s="2">
        <v>3</v>
      </c>
      <c r="D5" s="2">
        <v>3</v>
      </c>
      <c r="E5" s="2">
        <v>4</v>
      </c>
      <c r="F5" s="2">
        <v>2</v>
      </c>
      <c r="G5" s="2">
        <v>4</v>
      </c>
      <c r="H5" s="2">
        <v>2</v>
      </c>
      <c r="I5" s="2">
        <v>4</v>
      </c>
      <c r="J5" s="2">
        <v>5</v>
      </c>
      <c r="K5" s="2">
        <v>2</v>
      </c>
      <c r="L5" s="2">
        <v>2</v>
      </c>
      <c r="M5" s="2">
        <v>2</v>
      </c>
      <c r="N5" s="2">
        <v>5</v>
      </c>
      <c r="O5" s="10">
        <f t="shared" si="0"/>
        <v>3.1818181818181817</v>
      </c>
    </row>
    <row r="6" spans="1:16" x14ac:dyDescent="0.2">
      <c r="A6" s="2" t="s">
        <v>71</v>
      </c>
      <c r="B6" s="2" t="s">
        <v>71</v>
      </c>
      <c r="C6" s="2">
        <v>3</v>
      </c>
      <c r="D6" s="2">
        <v>5</v>
      </c>
      <c r="E6" s="2">
        <v>4</v>
      </c>
      <c r="F6" s="2">
        <v>1</v>
      </c>
      <c r="G6" s="2">
        <v>1</v>
      </c>
      <c r="H6" s="2">
        <v>2</v>
      </c>
      <c r="I6" s="2">
        <v>1</v>
      </c>
      <c r="J6" s="2">
        <v>2</v>
      </c>
      <c r="K6" s="2">
        <v>2</v>
      </c>
      <c r="L6" s="2">
        <v>1</v>
      </c>
      <c r="M6" s="2">
        <v>5</v>
      </c>
      <c r="N6" s="2">
        <v>2</v>
      </c>
      <c r="O6" s="10">
        <f t="shared" si="0"/>
        <v>2.3636363636363638</v>
      </c>
    </row>
    <row r="7" spans="1:16" x14ac:dyDescent="0.2">
      <c r="A7" s="2" t="s">
        <v>72</v>
      </c>
      <c r="B7" s="2" t="s">
        <v>72</v>
      </c>
      <c r="C7" s="2">
        <v>5</v>
      </c>
      <c r="D7" s="2">
        <v>4</v>
      </c>
      <c r="E7" s="2">
        <v>2</v>
      </c>
      <c r="F7" s="2">
        <v>4</v>
      </c>
      <c r="G7" s="2">
        <v>1</v>
      </c>
      <c r="H7" s="2">
        <v>3</v>
      </c>
      <c r="I7" s="2">
        <v>3</v>
      </c>
      <c r="J7" s="2">
        <v>2</v>
      </c>
      <c r="K7" s="2">
        <v>2</v>
      </c>
      <c r="L7" s="2">
        <v>4</v>
      </c>
      <c r="M7" s="2">
        <v>1</v>
      </c>
      <c r="N7" s="2">
        <v>6</v>
      </c>
      <c r="O7" s="10">
        <f t="shared" si="0"/>
        <v>2.9090909090909092</v>
      </c>
    </row>
    <row r="8" spans="1:16" x14ac:dyDescent="0.2">
      <c r="A8" s="2" t="s">
        <v>73</v>
      </c>
      <c r="B8" s="2" t="s">
        <v>73</v>
      </c>
      <c r="C8" s="2">
        <v>5</v>
      </c>
      <c r="D8" s="2">
        <v>1</v>
      </c>
      <c r="E8" s="2">
        <v>2</v>
      </c>
      <c r="F8" s="2">
        <v>4</v>
      </c>
      <c r="G8" s="2">
        <v>1</v>
      </c>
      <c r="H8" s="2">
        <v>5</v>
      </c>
      <c r="I8" s="2">
        <v>2</v>
      </c>
      <c r="J8" s="2">
        <v>5</v>
      </c>
      <c r="K8" s="2">
        <v>5</v>
      </c>
      <c r="L8" s="2">
        <v>2</v>
      </c>
      <c r="M8" s="2">
        <v>2</v>
      </c>
      <c r="N8" s="2">
        <v>5</v>
      </c>
      <c r="O8" s="10">
        <f t="shared" si="0"/>
        <v>3.0909090909090908</v>
      </c>
    </row>
    <row r="9" spans="1:16" x14ac:dyDescent="0.2">
      <c r="A9" s="2" t="s">
        <v>74</v>
      </c>
      <c r="B9" s="2" t="s">
        <v>74</v>
      </c>
      <c r="C9" s="2">
        <v>5</v>
      </c>
      <c r="D9" s="2">
        <v>1</v>
      </c>
      <c r="E9" s="2">
        <v>2</v>
      </c>
      <c r="F9" s="2">
        <v>2</v>
      </c>
      <c r="G9" s="2">
        <v>2</v>
      </c>
      <c r="H9" s="2">
        <v>5</v>
      </c>
      <c r="I9" s="2">
        <v>3</v>
      </c>
      <c r="J9" s="2">
        <v>5</v>
      </c>
      <c r="K9" s="2">
        <v>3</v>
      </c>
      <c r="L9" s="2">
        <v>2</v>
      </c>
      <c r="M9" s="2">
        <v>1</v>
      </c>
      <c r="N9" s="2">
        <v>3</v>
      </c>
      <c r="O9" s="10">
        <f t="shared" si="0"/>
        <v>2.6363636363636362</v>
      </c>
    </row>
    <row r="10" spans="1:16" x14ac:dyDescent="0.2">
      <c r="A10" s="2" t="s">
        <v>75</v>
      </c>
      <c r="B10" s="2" t="s">
        <v>75</v>
      </c>
      <c r="C10" s="2">
        <v>5</v>
      </c>
      <c r="D10" s="2">
        <v>4</v>
      </c>
      <c r="E10" s="2">
        <v>5</v>
      </c>
      <c r="F10" s="2">
        <v>1</v>
      </c>
      <c r="G10" s="2">
        <v>5</v>
      </c>
      <c r="H10" s="2">
        <v>2</v>
      </c>
      <c r="I10" s="2">
        <v>5</v>
      </c>
      <c r="J10" s="2">
        <v>2</v>
      </c>
      <c r="K10" s="2">
        <v>2</v>
      </c>
      <c r="L10" s="2">
        <v>5</v>
      </c>
      <c r="M10" s="2">
        <v>2</v>
      </c>
      <c r="N10" s="2">
        <v>5</v>
      </c>
      <c r="O10" s="10">
        <f t="shared" si="0"/>
        <v>3.4545454545454546</v>
      </c>
    </row>
    <row r="11" spans="1:16" x14ac:dyDescent="0.2">
      <c r="A11" s="2" t="s">
        <v>76</v>
      </c>
      <c r="B11" s="2" t="s">
        <v>76</v>
      </c>
      <c r="C11" s="2">
        <v>5</v>
      </c>
      <c r="D11" s="2">
        <v>4</v>
      </c>
      <c r="E11" s="2">
        <v>5</v>
      </c>
      <c r="F11" s="2">
        <v>4</v>
      </c>
      <c r="G11" s="2">
        <v>1</v>
      </c>
      <c r="H11" s="2">
        <v>6</v>
      </c>
      <c r="I11" s="2">
        <v>5</v>
      </c>
      <c r="J11" s="2">
        <v>2</v>
      </c>
      <c r="K11" s="2">
        <v>5</v>
      </c>
      <c r="L11" s="2">
        <v>2</v>
      </c>
      <c r="M11" s="2">
        <v>2</v>
      </c>
      <c r="N11" s="2">
        <v>3</v>
      </c>
      <c r="O11" s="10">
        <f t="shared" si="0"/>
        <v>3.5454545454545454</v>
      </c>
    </row>
    <row r="12" spans="1:16" x14ac:dyDescent="0.2">
      <c r="A12" s="2" t="s">
        <v>77</v>
      </c>
      <c r="B12" s="2" t="s">
        <v>77</v>
      </c>
      <c r="C12" s="2">
        <v>5</v>
      </c>
      <c r="D12" s="2">
        <v>2</v>
      </c>
      <c r="E12" s="2">
        <v>2</v>
      </c>
      <c r="F12" s="2">
        <v>2</v>
      </c>
      <c r="G12" s="2">
        <v>2</v>
      </c>
      <c r="H12" s="2">
        <v>5</v>
      </c>
      <c r="I12" s="2">
        <v>2</v>
      </c>
      <c r="J12" s="2">
        <v>5</v>
      </c>
      <c r="K12" s="2">
        <v>3</v>
      </c>
      <c r="L12" s="2">
        <v>2</v>
      </c>
      <c r="M12" s="2">
        <v>2</v>
      </c>
      <c r="N12" s="2">
        <v>3</v>
      </c>
      <c r="O12" s="10">
        <f t="shared" si="0"/>
        <v>2.7272727272727271</v>
      </c>
    </row>
    <row r="13" spans="1:16" x14ac:dyDescent="0.2">
      <c r="A13" s="2" t="s">
        <v>78</v>
      </c>
      <c r="B13" s="2" t="s">
        <v>78</v>
      </c>
      <c r="C13" s="2">
        <v>6</v>
      </c>
      <c r="D13" s="2">
        <v>5</v>
      </c>
      <c r="E13" s="2">
        <v>5</v>
      </c>
      <c r="F13" s="2">
        <v>2</v>
      </c>
      <c r="G13" s="2">
        <v>1</v>
      </c>
      <c r="H13" s="2">
        <v>3</v>
      </c>
      <c r="I13" s="2">
        <v>5</v>
      </c>
      <c r="J13" s="2">
        <v>1</v>
      </c>
      <c r="K13" s="2">
        <v>2</v>
      </c>
      <c r="L13" s="2">
        <v>5</v>
      </c>
      <c r="M13" s="2">
        <v>5</v>
      </c>
      <c r="N13" s="2">
        <v>2</v>
      </c>
      <c r="O13" s="10">
        <f t="shared" si="0"/>
        <v>3.2727272727272729</v>
      </c>
    </row>
    <row r="14" spans="1:16" x14ac:dyDescent="0.2">
      <c r="A14" s="2" t="s">
        <v>79</v>
      </c>
      <c r="B14" s="2" t="s">
        <v>79</v>
      </c>
      <c r="C14" s="2">
        <v>6</v>
      </c>
      <c r="D14" s="2">
        <v>2</v>
      </c>
      <c r="E14" s="2">
        <v>4</v>
      </c>
      <c r="F14" s="2">
        <v>5</v>
      </c>
      <c r="G14" s="2">
        <v>2</v>
      </c>
      <c r="H14" s="2">
        <v>5</v>
      </c>
      <c r="I14" s="2">
        <v>2</v>
      </c>
      <c r="J14" s="2">
        <v>5</v>
      </c>
      <c r="K14" s="2">
        <v>2</v>
      </c>
      <c r="L14" s="2">
        <v>5</v>
      </c>
      <c r="M14" s="2">
        <v>3</v>
      </c>
      <c r="N14" s="2">
        <v>4</v>
      </c>
      <c r="O14" s="10">
        <f t="shared" si="0"/>
        <v>3.5454545454545454</v>
      </c>
    </row>
    <row r="15" spans="1:16" x14ac:dyDescent="0.2">
      <c r="A15" s="2" t="s">
        <v>80</v>
      </c>
      <c r="B15" s="2" t="s">
        <v>80</v>
      </c>
      <c r="C15" s="2">
        <v>6</v>
      </c>
      <c r="D15" s="2">
        <v>2</v>
      </c>
      <c r="E15" s="2">
        <v>1</v>
      </c>
      <c r="F15" s="2">
        <v>2</v>
      </c>
      <c r="G15" s="2">
        <v>2</v>
      </c>
      <c r="H15" s="2">
        <v>3</v>
      </c>
      <c r="I15" s="2">
        <v>3</v>
      </c>
      <c r="J15" s="2">
        <v>5</v>
      </c>
      <c r="K15" s="2">
        <v>5</v>
      </c>
      <c r="L15" s="2">
        <v>2</v>
      </c>
      <c r="M15" s="2">
        <v>2</v>
      </c>
      <c r="N15" s="2">
        <v>2</v>
      </c>
      <c r="O15" s="10">
        <f t="shared" si="0"/>
        <v>2.6363636363636362</v>
      </c>
    </row>
    <row r="16" spans="1:16" x14ac:dyDescent="0.2">
      <c r="A16" s="2" t="s">
        <v>81</v>
      </c>
      <c r="B16" s="2" t="s">
        <v>81</v>
      </c>
      <c r="C16" s="2">
        <v>6</v>
      </c>
      <c r="D16" s="2">
        <v>3</v>
      </c>
      <c r="E16" s="2">
        <v>3</v>
      </c>
      <c r="F16" s="2">
        <v>2</v>
      </c>
      <c r="G16" s="2">
        <v>2</v>
      </c>
      <c r="H16" s="2">
        <v>3</v>
      </c>
      <c r="I16" s="2">
        <v>5</v>
      </c>
      <c r="J16" s="2">
        <v>2</v>
      </c>
      <c r="K16" s="2">
        <v>2</v>
      </c>
      <c r="L16" s="2">
        <v>2</v>
      </c>
      <c r="M16" s="2">
        <v>5</v>
      </c>
      <c r="N16" s="2">
        <v>2</v>
      </c>
      <c r="O16" s="10">
        <f t="shared" si="0"/>
        <v>2.8181818181818183</v>
      </c>
    </row>
    <row r="17" spans="1:15" x14ac:dyDescent="0.2">
      <c r="A17" s="2" t="s">
        <v>82</v>
      </c>
      <c r="B17" s="2" t="s">
        <v>82</v>
      </c>
      <c r="C17" s="2">
        <v>6</v>
      </c>
      <c r="D17" s="2">
        <v>5</v>
      </c>
      <c r="E17" s="2">
        <v>2</v>
      </c>
      <c r="F17" s="2">
        <v>5</v>
      </c>
      <c r="G17" s="2">
        <v>5</v>
      </c>
      <c r="H17" s="2">
        <v>2</v>
      </c>
      <c r="I17" s="2">
        <v>2</v>
      </c>
      <c r="J17" s="2">
        <v>2</v>
      </c>
      <c r="K17" s="2">
        <v>4</v>
      </c>
      <c r="L17" s="2">
        <v>5</v>
      </c>
      <c r="M17" s="2">
        <v>3</v>
      </c>
      <c r="N17" s="2">
        <v>5</v>
      </c>
      <c r="O17" s="10">
        <f t="shared" si="0"/>
        <v>3.6363636363636362</v>
      </c>
    </row>
    <row r="18" spans="1:15" x14ac:dyDescent="0.2">
      <c r="A18" s="2" t="s">
        <v>83</v>
      </c>
      <c r="B18" s="2" t="s">
        <v>83</v>
      </c>
      <c r="C18" s="2">
        <v>6</v>
      </c>
      <c r="D18" s="2">
        <v>5</v>
      </c>
      <c r="E18" s="2">
        <v>3</v>
      </c>
      <c r="F18" s="2">
        <v>5</v>
      </c>
      <c r="G18" s="2">
        <v>3</v>
      </c>
      <c r="H18" s="2">
        <v>4</v>
      </c>
      <c r="I18" s="2">
        <v>1</v>
      </c>
      <c r="J18" s="2">
        <v>6</v>
      </c>
      <c r="K18" s="2">
        <v>5</v>
      </c>
      <c r="L18" s="2">
        <v>1</v>
      </c>
      <c r="M18" s="2">
        <v>2</v>
      </c>
      <c r="N18" s="2">
        <v>2</v>
      </c>
      <c r="O18" s="10">
        <f t="shared" si="0"/>
        <v>3.3636363636363638</v>
      </c>
    </row>
    <row r="19" spans="1:15" x14ac:dyDescent="0.2">
      <c r="A19" s="2" t="s">
        <v>84</v>
      </c>
      <c r="B19" s="2" t="s">
        <v>84</v>
      </c>
      <c r="C19" s="2">
        <v>7</v>
      </c>
      <c r="D19" s="2">
        <v>2</v>
      </c>
      <c r="E19" s="2">
        <v>5</v>
      </c>
      <c r="F19" s="2">
        <v>2</v>
      </c>
      <c r="G19" s="2">
        <v>2</v>
      </c>
      <c r="H19" s="2">
        <v>2</v>
      </c>
      <c r="I19" s="2">
        <v>2</v>
      </c>
      <c r="J19" s="2">
        <v>5</v>
      </c>
      <c r="K19" s="2">
        <v>2</v>
      </c>
      <c r="L19" s="2">
        <v>1</v>
      </c>
      <c r="M19" s="2">
        <v>3</v>
      </c>
      <c r="N19" s="2">
        <v>5</v>
      </c>
      <c r="O19" s="10">
        <f t="shared" si="0"/>
        <v>2.8181818181818183</v>
      </c>
    </row>
    <row r="20" spans="1:15" x14ac:dyDescent="0.2">
      <c r="A20" s="2" t="s">
        <v>85</v>
      </c>
      <c r="B20" s="2" t="s">
        <v>85</v>
      </c>
      <c r="C20" s="2">
        <v>7</v>
      </c>
      <c r="D20" s="2">
        <v>6</v>
      </c>
      <c r="E20" s="2">
        <v>5</v>
      </c>
      <c r="F20" s="2">
        <v>2</v>
      </c>
      <c r="G20" s="2">
        <v>5</v>
      </c>
      <c r="H20" s="2">
        <v>2</v>
      </c>
      <c r="I20" s="2">
        <v>1</v>
      </c>
      <c r="J20" s="2">
        <v>3</v>
      </c>
      <c r="K20" s="2">
        <v>5</v>
      </c>
      <c r="L20" s="2">
        <v>2</v>
      </c>
      <c r="M20" s="2">
        <v>5</v>
      </c>
      <c r="N20" s="2">
        <v>2</v>
      </c>
      <c r="O20" s="10">
        <f t="shared" si="0"/>
        <v>3.4545454545454546</v>
      </c>
    </row>
    <row r="21" spans="1:15" x14ac:dyDescent="0.2">
      <c r="A21" s="2" t="s">
        <v>86</v>
      </c>
      <c r="B21" s="2" t="s">
        <v>86</v>
      </c>
      <c r="C21" s="2">
        <v>7</v>
      </c>
      <c r="D21" s="2">
        <v>5</v>
      </c>
      <c r="E21" s="2">
        <v>2</v>
      </c>
      <c r="F21" s="2">
        <v>5</v>
      </c>
      <c r="G21" s="2">
        <v>3</v>
      </c>
      <c r="H21" s="2">
        <v>5</v>
      </c>
      <c r="I21" s="2">
        <v>2</v>
      </c>
      <c r="J21" s="2">
        <v>5</v>
      </c>
      <c r="K21" s="2">
        <v>2</v>
      </c>
      <c r="L21" s="2">
        <v>2</v>
      </c>
      <c r="M21" s="2">
        <v>3</v>
      </c>
      <c r="N21" s="2">
        <v>3</v>
      </c>
      <c r="O21" s="10">
        <f t="shared" si="0"/>
        <v>3.3636363636363638</v>
      </c>
    </row>
    <row r="22" spans="1:15" x14ac:dyDescent="0.2">
      <c r="A22" s="2" t="s">
        <v>87</v>
      </c>
      <c r="B22" s="2" t="s">
        <v>87</v>
      </c>
      <c r="C22" s="2">
        <v>7</v>
      </c>
      <c r="D22" s="2">
        <v>3</v>
      </c>
      <c r="E22" s="2">
        <v>5</v>
      </c>
      <c r="F22" s="2">
        <v>1</v>
      </c>
      <c r="G22" s="2">
        <v>2</v>
      </c>
      <c r="H22" s="2">
        <v>2</v>
      </c>
      <c r="I22" s="2">
        <v>2</v>
      </c>
      <c r="J22" s="2">
        <v>3</v>
      </c>
      <c r="K22" s="2">
        <v>3</v>
      </c>
      <c r="L22" s="2">
        <v>2</v>
      </c>
      <c r="M22" s="2">
        <v>3</v>
      </c>
      <c r="N22" s="2">
        <v>5</v>
      </c>
      <c r="O22" s="10">
        <f t="shared" si="0"/>
        <v>2.8181818181818183</v>
      </c>
    </row>
    <row r="23" spans="1:15" x14ac:dyDescent="0.2">
      <c r="A23" s="2" t="s">
        <v>88</v>
      </c>
      <c r="B23" s="2" t="s">
        <v>88</v>
      </c>
      <c r="C23" s="2">
        <v>8</v>
      </c>
      <c r="D23" s="2">
        <v>5</v>
      </c>
      <c r="E23" s="2">
        <v>2</v>
      </c>
      <c r="F23" s="2">
        <v>5</v>
      </c>
      <c r="G23" s="2">
        <v>2</v>
      </c>
      <c r="H23" s="2">
        <v>4</v>
      </c>
      <c r="I23" s="2">
        <v>1</v>
      </c>
      <c r="J23" s="2">
        <v>6</v>
      </c>
      <c r="K23" s="2">
        <v>5</v>
      </c>
      <c r="L23" s="2">
        <v>5</v>
      </c>
      <c r="M23" s="2">
        <v>2</v>
      </c>
      <c r="N23" s="2">
        <v>2</v>
      </c>
      <c r="O23" s="10">
        <f t="shared" si="0"/>
        <v>3.5454545454545454</v>
      </c>
    </row>
    <row r="24" spans="1:15" x14ac:dyDescent="0.2">
      <c r="A24" s="2" t="s">
        <v>89</v>
      </c>
      <c r="B24" s="2" t="s">
        <v>89</v>
      </c>
      <c r="C24" s="2">
        <v>8</v>
      </c>
      <c r="D24" s="2">
        <v>3</v>
      </c>
      <c r="E24" s="2">
        <v>3</v>
      </c>
      <c r="F24" s="2">
        <v>5</v>
      </c>
      <c r="G24" s="2">
        <v>5</v>
      </c>
      <c r="H24" s="2">
        <v>2</v>
      </c>
      <c r="I24" s="2">
        <v>2</v>
      </c>
      <c r="J24" s="2">
        <v>5</v>
      </c>
      <c r="K24" s="2">
        <v>2</v>
      </c>
      <c r="L24" s="2">
        <v>3</v>
      </c>
      <c r="M24" s="2">
        <v>4</v>
      </c>
      <c r="N24" s="2">
        <v>1</v>
      </c>
      <c r="O24" s="10">
        <f t="shared" si="0"/>
        <v>3.1818181818181817</v>
      </c>
    </row>
    <row r="25" spans="1:15" x14ac:dyDescent="0.2">
      <c r="A25" s="2" t="s">
        <v>90</v>
      </c>
      <c r="B25" s="2" t="s">
        <v>90</v>
      </c>
      <c r="C25" s="2">
        <v>8</v>
      </c>
      <c r="D25" s="2">
        <v>3</v>
      </c>
      <c r="E25" s="2">
        <v>5</v>
      </c>
      <c r="F25" s="2">
        <v>2</v>
      </c>
      <c r="G25" s="2">
        <v>2</v>
      </c>
      <c r="H25" s="2">
        <v>2</v>
      </c>
      <c r="I25" s="2">
        <v>1</v>
      </c>
      <c r="J25" s="2">
        <v>3</v>
      </c>
      <c r="K25" s="2">
        <v>5</v>
      </c>
      <c r="L25" s="2">
        <v>2</v>
      </c>
      <c r="M25" s="2">
        <v>2</v>
      </c>
      <c r="N25" s="2">
        <v>2</v>
      </c>
      <c r="O25" s="10">
        <f t="shared" si="0"/>
        <v>2.6363636363636362</v>
      </c>
    </row>
    <row r="26" spans="1:15" x14ac:dyDescent="0.2">
      <c r="A26" s="2" t="s">
        <v>91</v>
      </c>
      <c r="B26" s="2" t="s">
        <v>91</v>
      </c>
      <c r="C26" s="2">
        <v>8</v>
      </c>
      <c r="D26" s="2">
        <v>2</v>
      </c>
      <c r="E26" s="2">
        <v>2</v>
      </c>
      <c r="F26" s="2">
        <v>2</v>
      </c>
      <c r="G26" s="2">
        <v>4</v>
      </c>
      <c r="H26" s="2">
        <v>5</v>
      </c>
      <c r="I26" s="2">
        <v>2</v>
      </c>
      <c r="J26" s="2">
        <v>5</v>
      </c>
      <c r="K26" s="2">
        <v>2</v>
      </c>
      <c r="L26" s="2">
        <v>5</v>
      </c>
      <c r="M26" s="2">
        <v>2</v>
      </c>
      <c r="N26" s="2">
        <v>1</v>
      </c>
      <c r="O26" s="10">
        <f t="shared" si="0"/>
        <v>2.9090909090909092</v>
      </c>
    </row>
    <row r="27" spans="1:15" x14ac:dyDescent="0.2">
      <c r="A27" s="2" t="s">
        <v>92</v>
      </c>
      <c r="B27" s="2" t="s">
        <v>92</v>
      </c>
      <c r="C27" s="2">
        <v>8</v>
      </c>
      <c r="D27" s="2">
        <v>2</v>
      </c>
      <c r="E27" s="2">
        <v>2</v>
      </c>
      <c r="F27" s="2">
        <v>2</v>
      </c>
      <c r="G27" s="2">
        <v>4</v>
      </c>
      <c r="H27" s="2">
        <v>2</v>
      </c>
      <c r="I27" s="2">
        <v>2</v>
      </c>
      <c r="J27" s="2">
        <v>3</v>
      </c>
      <c r="K27" s="2">
        <v>3</v>
      </c>
      <c r="L27" s="2">
        <v>2</v>
      </c>
      <c r="M27" s="2">
        <v>4</v>
      </c>
      <c r="N27" s="2">
        <v>1</v>
      </c>
      <c r="O27" s="10">
        <f t="shared" si="0"/>
        <v>2.4545454545454546</v>
      </c>
    </row>
    <row r="29" spans="1:15" ht="16" x14ac:dyDescent="0.2">
      <c r="A29" s="11"/>
    </row>
  </sheetData>
  <autoFilter ref="A1:P27">
    <sortState ref="A2:P27">
      <sortCondition ref="A1"/>
    </sortState>
  </autoFilter>
  <sortState ref="A2:P29">
    <sortCondition ref="A1"/>
  </sortState>
  <phoneticPr fontId="18" type="noConversion"/>
  <pageMargins left="0.7" right="0.7" top="0.75" bottom="0.75" header="0.3" footer="0.3"/>
  <pageSetup orientation="portrait" horizontalDpi="0" verticalDpi="0"/>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Grade Data</vt:lpstr>
      <vt:lpstr>Constructed SAFs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Brandon Rodriguez</dc:creator>
  <cp:lastModifiedBy>Microsoft Office User</cp:lastModifiedBy>
  <dcterms:created xsi:type="dcterms:W3CDTF">2015-08-27T13:52:28Z</dcterms:created>
  <dcterms:modified xsi:type="dcterms:W3CDTF">2016-11-22T18:40:46Z</dcterms:modified>
</cp:coreProperties>
</file>